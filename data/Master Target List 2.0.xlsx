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sonFifarekPE\Documents\Sales\2026 Trelity BD Plan\Files for Nick\"/>
    </mc:Choice>
  </mc:AlternateContent>
  <xr:revisionPtr revIDLastSave="0" documentId="8_{3477D8F7-2311-4EEE-B892-CEF91AA10323}" xr6:coauthVersionLast="47" xr6:coauthVersionMax="47" xr10:uidLastSave="{00000000-0000-0000-0000-000000000000}"/>
  <bookViews>
    <workbookView xWindow="-96" yWindow="-96" windowWidth="23232" windowHeight="13872" firstSheet="9" activeTab="10" xr2:uid="{6047EB5C-8CE9-4BB3-A19D-D8F4A29CAA30}"/>
  </bookViews>
  <sheets>
    <sheet name="2023 Tier 1" sheetId="1" r:id="rId1"/>
    <sheet name="2023 Tier 2" sheetId="2" r:id="rId2"/>
    <sheet name="2023 Tier 3" sheetId="3" r:id="rId3"/>
    <sheet name="Firm Engagement" sheetId="5" r:id="rId4"/>
    <sheet name="Centerbuild 2024" sheetId="8" r:id="rId5"/>
    <sheet name="Centerbuild 2025" sheetId="9" r:id="rId6"/>
    <sheet name="Hospitality" sheetId="13" r:id="rId7"/>
    <sheet name="2025 Existing Client List" sheetId="6" state="hidden" r:id="rId8"/>
    <sheet name="Action Items Per Team Member" sheetId="7" state="hidden" r:id="rId9"/>
    <sheet name="2026 Existing Clients" sheetId="11" r:id="rId10"/>
    <sheet name="2026 BD Categories" sheetId="10" r:id="rId11"/>
    <sheet name="2026 BD Next Steps" sheetId="12" r:id="rId12"/>
  </sheets>
  <externalReferences>
    <externalReference r:id="rId13"/>
  </externalReferences>
  <definedNames>
    <definedName name="_xlnm._FilterDatabase" localSheetId="9" hidden="1">'2026 Existing Clients'!$A$1:$AD$93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5" i="11" l="1"/>
  <c r="U96" i="11" s="1"/>
  <c r="T95" i="11"/>
  <c r="C95" i="11"/>
  <c r="S95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G8" i="11"/>
  <c r="H8" i="11"/>
  <c r="I8" i="11"/>
  <c r="J8" i="11"/>
  <c r="K8" i="11"/>
  <c r="L8" i="11"/>
  <c r="M8" i="11"/>
  <c r="N8" i="11"/>
  <c r="O8" i="11"/>
  <c r="P8" i="11"/>
  <c r="Q8" i="11"/>
  <c r="R8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75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71" i="12"/>
  <c r="A72" i="12"/>
  <c r="A52" i="12"/>
  <c r="A30" i="12"/>
  <c r="A31" i="12"/>
  <c r="A32" i="12"/>
  <c r="A33" i="12"/>
  <c r="A34" i="12"/>
  <c r="A35" i="12"/>
  <c r="A36" i="12"/>
  <c r="A37" i="12"/>
  <c r="A39" i="12"/>
  <c r="A40" i="12"/>
  <c r="A41" i="12"/>
  <c r="A42" i="12"/>
  <c r="A43" i="12"/>
  <c r="A44" i="12"/>
  <c r="A45" i="12"/>
  <c r="A46" i="12"/>
  <c r="A47" i="12"/>
  <c r="A48" i="12"/>
  <c r="A49" i="12"/>
  <c r="A29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4" i="12"/>
  <c r="G85" i="11"/>
  <c r="H85" i="11"/>
  <c r="I85" i="11"/>
  <c r="J85" i="11"/>
  <c r="K85" i="11"/>
  <c r="L85" i="11"/>
  <c r="M85" i="11"/>
  <c r="N85" i="11"/>
  <c r="O85" i="11"/>
  <c r="P85" i="11"/>
  <c r="Q85" i="11"/>
  <c r="R85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F95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O3" i="11"/>
  <c r="O4" i="11"/>
  <c r="O5" i="11"/>
  <c r="O6" i="11"/>
  <c r="O7" i="11"/>
  <c r="O9" i="11"/>
  <c r="O13" i="11"/>
  <c r="O14" i="11"/>
  <c r="O16" i="11"/>
  <c r="O15" i="11"/>
  <c r="O17" i="11"/>
  <c r="O18" i="11"/>
  <c r="O19" i="11"/>
  <c r="O22" i="11"/>
  <c r="O23" i="11"/>
  <c r="O32" i="11"/>
  <c r="O35" i="11"/>
  <c r="O36" i="11"/>
  <c r="O37" i="11"/>
  <c r="O38" i="11"/>
  <c r="O41" i="11"/>
  <c r="O42" i="11"/>
  <c r="O43" i="11"/>
  <c r="O46" i="11"/>
  <c r="O45" i="11"/>
  <c r="O48" i="11"/>
  <c r="O47" i="11"/>
  <c r="O49" i="11"/>
  <c r="O50" i="11"/>
  <c r="O51" i="11"/>
  <c r="O52" i="11"/>
  <c r="O53" i="11"/>
  <c r="O55" i="11"/>
  <c r="O56" i="11"/>
  <c r="O54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82" i="11"/>
  <c r="O83" i="11"/>
  <c r="O84" i="11"/>
  <c r="O90" i="11"/>
  <c r="O91" i="11"/>
  <c r="O2" i="11"/>
  <c r="G3" i="11"/>
  <c r="G4" i="11"/>
  <c r="G5" i="11"/>
  <c r="G6" i="11"/>
  <c r="G7" i="11"/>
  <c r="G9" i="11"/>
  <c r="G13" i="11"/>
  <c r="G14" i="11"/>
  <c r="G16" i="11"/>
  <c r="G15" i="11"/>
  <c r="G17" i="11"/>
  <c r="G18" i="11"/>
  <c r="G19" i="11"/>
  <c r="G22" i="11"/>
  <c r="G23" i="11"/>
  <c r="G32" i="11"/>
  <c r="G35" i="11"/>
  <c r="G36" i="11"/>
  <c r="G37" i="11"/>
  <c r="G38" i="11"/>
  <c r="G41" i="11"/>
  <c r="G42" i="11"/>
  <c r="G43" i="11"/>
  <c r="G46" i="11"/>
  <c r="G45" i="11"/>
  <c r="G48" i="11"/>
  <c r="G47" i="11"/>
  <c r="G49" i="11"/>
  <c r="G50" i="11"/>
  <c r="G51" i="11"/>
  <c r="G52" i="11"/>
  <c r="G53" i="11"/>
  <c r="G55" i="11"/>
  <c r="G56" i="11"/>
  <c r="G54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82" i="11"/>
  <c r="G83" i="11"/>
  <c r="G84" i="11"/>
  <c r="G90" i="11"/>
  <c r="G91" i="11"/>
  <c r="G2" i="11"/>
  <c r="H3" i="11"/>
  <c r="I3" i="11"/>
  <c r="J3" i="11"/>
  <c r="K3" i="11"/>
  <c r="L3" i="11"/>
  <c r="M3" i="11"/>
  <c r="N3" i="11"/>
  <c r="P3" i="11"/>
  <c r="Q3" i="11"/>
  <c r="R3" i="11"/>
  <c r="H4" i="11"/>
  <c r="I4" i="11"/>
  <c r="J4" i="11"/>
  <c r="K4" i="11"/>
  <c r="L4" i="11"/>
  <c r="M4" i="11"/>
  <c r="N4" i="11"/>
  <c r="P4" i="11"/>
  <c r="Q4" i="11"/>
  <c r="R4" i="11"/>
  <c r="H5" i="11"/>
  <c r="I5" i="11"/>
  <c r="J5" i="11"/>
  <c r="K5" i="11"/>
  <c r="L5" i="11"/>
  <c r="M5" i="11"/>
  <c r="N5" i="11"/>
  <c r="P5" i="11"/>
  <c r="Q5" i="11"/>
  <c r="R5" i="11"/>
  <c r="H6" i="11"/>
  <c r="I6" i="11"/>
  <c r="J6" i="11"/>
  <c r="K6" i="11"/>
  <c r="L6" i="11"/>
  <c r="M6" i="11"/>
  <c r="N6" i="11"/>
  <c r="P6" i="11"/>
  <c r="Q6" i="11"/>
  <c r="R6" i="11"/>
  <c r="H7" i="11"/>
  <c r="I7" i="11"/>
  <c r="J7" i="11"/>
  <c r="K7" i="11"/>
  <c r="L7" i="11"/>
  <c r="M7" i="11"/>
  <c r="N7" i="11"/>
  <c r="P7" i="11"/>
  <c r="Q7" i="11"/>
  <c r="R7" i="11"/>
  <c r="H9" i="11"/>
  <c r="I9" i="11"/>
  <c r="J9" i="11"/>
  <c r="K9" i="11"/>
  <c r="L9" i="11"/>
  <c r="M9" i="11"/>
  <c r="N9" i="11"/>
  <c r="P9" i="11"/>
  <c r="Q9" i="11"/>
  <c r="R9" i="11"/>
  <c r="H13" i="11"/>
  <c r="I13" i="11"/>
  <c r="J13" i="11"/>
  <c r="K13" i="11"/>
  <c r="L13" i="11"/>
  <c r="M13" i="11"/>
  <c r="N13" i="11"/>
  <c r="P13" i="11"/>
  <c r="Q13" i="11"/>
  <c r="R13" i="11"/>
  <c r="H14" i="11"/>
  <c r="I14" i="11"/>
  <c r="J14" i="11"/>
  <c r="K14" i="11"/>
  <c r="L14" i="11"/>
  <c r="M14" i="11"/>
  <c r="N14" i="11"/>
  <c r="P14" i="11"/>
  <c r="Q14" i="11"/>
  <c r="R14" i="11"/>
  <c r="H16" i="11"/>
  <c r="I16" i="11"/>
  <c r="J16" i="11"/>
  <c r="K16" i="11"/>
  <c r="L16" i="11"/>
  <c r="M16" i="11"/>
  <c r="N16" i="11"/>
  <c r="P16" i="11"/>
  <c r="Q16" i="11"/>
  <c r="R16" i="11"/>
  <c r="H15" i="11"/>
  <c r="I15" i="11"/>
  <c r="J15" i="11"/>
  <c r="K15" i="11"/>
  <c r="L15" i="11"/>
  <c r="M15" i="11"/>
  <c r="N15" i="11"/>
  <c r="P15" i="11"/>
  <c r="Q15" i="11"/>
  <c r="R15" i="11"/>
  <c r="H17" i="11"/>
  <c r="I17" i="11"/>
  <c r="J17" i="11"/>
  <c r="K17" i="11"/>
  <c r="L17" i="11"/>
  <c r="M17" i="11"/>
  <c r="N17" i="11"/>
  <c r="P17" i="11"/>
  <c r="Q17" i="11"/>
  <c r="R17" i="11"/>
  <c r="H18" i="11"/>
  <c r="I18" i="11"/>
  <c r="J18" i="11"/>
  <c r="K18" i="11"/>
  <c r="L18" i="11"/>
  <c r="M18" i="11"/>
  <c r="N18" i="11"/>
  <c r="P18" i="11"/>
  <c r="Q18" i="11"/>
  <c r="R18" i="11"/>
  <c r="H19" i="11"/>
  <c r="I19" i="11"/>
  <c r="J19" i="11"/>
  <c r="K19" i="11"/>
  <c r="L19" i="11"/>
  <c r="M19" i="11"/>
  <c r="N19" i="11"/>
  <c r="P19" i="11"/>
  <c r="Q19" i="11"/>
  <c r="R19" i="11"/>
  <c r="H22" i="11"/>
  <c r="I22" i="11"/>
  <c r="J22" i="11"/>
  <c r="K22" i="11"/>
  <c r="L22" i="11"/>
  <c r="M22" i="11"/>
  <c r="N22" i="11"/>
  <c r="P22" i="11"/>
  <c r="Q22" i="11"/>
  <c r="R22" i="11"/>
  <c r="H23" i="11"/>
  <c r="I23" i="11"/>
  <c r="J23" i="11"/>
  <c r="K23" i="11"/>
  <c r="L23" i="11"/>
  <c r="M23" i="11"/>
  <c r="N23" i="11"/>
  <c r="P23" i="11"/>
  <c r="Q23" i="11"/>
  <c r="R23" i="11"/>
  <c r="H32" i="11"/>
  <c r="I32" i="11"/>
  <c r="J32" i="11"/>
  <c r="K32" i="11"/>
  <c r="L32" i="11"/>
  <c r="M32" i="11"/>
  <c r="N32" i="11"/>
  <c r="P32" i="11"/>
  <c r="Q32" i="11"/>
  <c r="R32" i="11"/>
  <c r="H35" i="11"/>
  <c r="I35" i="11"/>
  <c r="J35" i="11"/>
  <c r="K35" i="11"/>
  <c r="L35" i="11"/>
  <c r="M35" i="11"/>
  <c r="N35" i="11"/>
  <c r="P35" i="11"/>
  <c r="Q35" i="11"/>
  <c r="R35" i="11"/>
  <c r="H36" i="11"/>
  <c r="I36" i="11"/>
  <c r="J36" i="11"/>
  <c r="K36" i="11"/>
  <c r="L36" i="11"/>
  <c r="M36" i="11"/>
  <c r="N36" i="11"/>
  <c r="P36" i="11"/>
  <c r="Q36" i="11"/>
  <c r="R36" i="11"/>
  <c r="H37" i="11"/>
  <c r="I37" i="11"/>
  <c r="J37" i="11"/>
  <c r="K37" i="11"/>
  <c r="L37" i="11"/>
  <c r="M37" i="11"/>
  <c r="N37" i="11"/>
  <c r="P37" i="11"/>
  <c r="Q37" i="11"/>
  <c r="R37" i="11"/>
  <c r="H38" i="11"/>
  <c r="I38" i="11"/>
  <c r="J38" i="11"/>
  <c r="K38" i="11"/>
  <c r="L38" i="11"/>
  <c r="M38" i="11"/>
  <c r="N38" i="11"/>
  <c r="P38" i="11"/>
  <c r="Q38" i="11"/>
  <c r="R38" i="11"/>
  <c r="H41" i="11"/>
  <c r="I41" i="11"/>
  <c r="J41" i="11"/>
  <c r="K41" i="11"/>
  <c r="L41" i="11"/>
  <c r="M41" i="11"/>
  <c r="N41" i="11"/>
  <c r="P41" i="11"/>
  <c r="Q41" i="11"/>
  <c r="R41" i="11"/>
  <c r="H42" i="11"/>
  <c r="I42" i="11"/>
  <c r="J42" i="11"/>
  <c r="K42" i="11"/>
  <c r="L42" i="11"/>
  <c r="M42" i="11"/>
  <c r="N42" i="11"/>
  <c r="P42" i="11"/>
  <c r="Q42" i="11"/>
  <c r="R42" i="11"/>
  <c r="H43" i="11"/>
  <c r="I43" i="11"/>
  <c r="J43" i="11"/>
  <c r="K43" i="11"/>
  <c r="L43" i="11"/>
  <c r="M43" i="11"/>
  <c r="N43" i="11"/>
  <c r="P43" i="11"/>
  <c r="Q43" i="11"/>
  <c r="R43" i="11"/>
  <c r="H46" i="11"/>
  <c r="I46" i="11"/>
  <c r="J46" i="11"/>
  <c r="K46" i="11"/>
  <c r="L46" i="11"/>
  <c r="M46" i="11"/>
  <c r="N46" i="11"/>
  <c r="P46" i="11"/>
  <c r="Q46" i="11"/>
  <c r="R46" i="11"/>
  <c r="H45" i="11"/>
  <c r="I45" i="11"/>
  <c r="J45" i="11"/>
  <c r="K45" i="11"/>
  <c r="L45" i="11"/>
  <c r="M45" i="11"/>
  <c r="N45" i="11"/>
  <c r="P45" i="11"/>
  <c r="Q45" i="11"/>
  <c r="R45" i="11"/>
  <c r="H48" i="11"/>
  <c r="I48" i="11"/>
  <c r="J48" i="11"/>
  <c r="K48" i="11"/>
  <c r="L48" i="11"/>
  <c r="M48" i="11"/>
  <c r="N48" i="11"/>
  <c r="P48" i="11"/>
  <c r="Q48" i="11"/>
  <c r="R48" i="11"/>
  <c r="H47" i="11"/>
  <c r="I47" i="11"/>
  <c r="J47" i="11"/>
  <c r="K47" i="11"/>
  <c r="L47" i="11"/>
  <c r="M47" i="11"/>
  <c r="N47" i="11"/>
  <c r="P47" i="11"/>
  <c r="Q47" i="11"/>
  <c r="R47" i="11"/>
  <c r="H49" i="11"/>
  <c r="I49" i="11"/>
  <c r="J49" i="11"/>
  <c r="K49" i="11"/>
  <c r="L49" i="11"/>
  <c r="M49" i="11"/>
  <c r="N49" i="11"/>
  <c r="P49" i="11"/>
  <c r="Q49" i="11"/>
  <c r="R49" i="11"/>
  <c r="H50" i="11"/>
  <c r="I50" i="11"/>
  <c r="J50" i="11"/>
  <c r="K50" i="11"/>
  <c r="L50" i="11"/>
  <c r="M50" i="11"/>
  <c r="N50" i="11"/>
  <c r="P50" i="11"/>
  <c r="Q50" i="11"/>
  <c r="R50" i="11"/>
  <c r="H51" i="11"/>
  <c r="I51" i="11"/>
  <c r="J51" i="11"/>
  <c r="K51" i="11"/>
  <c r="L51" i="11"/>
  <c r="M51" i="11"/>
  <c r="N51" i="11"/>
  <c r="P51" i="11"/>
  <c r="Q51" i="11"/>
  <c r="R51" i="11"/>
  <c r="H52" i="11"/>
  <c r="I52" i="11"/>
  <c r="J52" i="11"/>
  <c r="K52" i="11"/>
  <c r="L52" i="11"/>
  <c r="M52" i="11"/>
  <c r="N52" i="11"/>
  <c r="P52" i="11"/>
  <c r="Q52" i="11"/>
  <c r="R52" i="11"/>
  <c r="H53" i="11"/>
  <c r="I53" i="11"/>
  <c r="J53" i="11"/>
  <c r="K53" i="11"/>
  <c r="L53" i="11"/>
  <c r="M53" i="11"/>
  <c r="N53" i="11"/>
  <c r="P53" i="11"/>
  <c r="Q53" i="11"/>
  <c r="R53" i="11"/>
  <c r="H55" i="11"/>
  <c r="I55" i="11"/>
  <c r="J55" i="11"/>
  <c r="K55" i="11"/>
  <c r="L55" i="11"/>
  <c r="M55" i="11"/>
  <c r="N55" i="11"/>
  <c r="P55" i="11"/>
  <c r="Q55" i="11"/>
  <c r="R55" i="11"/>
  <c r="H56" i="11"/>
  <c r="I56" i="11"/>
  <c r="J56" i="11"/>
  <c r="K56" i="11"/>
  <c r="L56" i="11"/>
  <c r="M56" i="11"/>
  <c r="N56" i="11"/>
  <c r="P56" i="11"/>
  <c r="Q56" i="11"/>
  <c r="R56" i="11"/>
  <c r="H54" i="11"/>
  <c r="I54" i="11"/>
  <c r="J54" i="11"/>
  <c r="K54" i="11"/>
  <c r="L54" i="11"/>
  <c r="M54" i="11"/>
  <c r="N54" i="11"/>
  <c r="P54" i="11"/>
  <c r="Q54" i="11"/>
  <c r="R54" i="11"/>
  <c r="H57" i="11"/>
  <c r="I57" i="11"/>
  <c r="J57" i="11"/>
  <c r="K57" i="11"/>
  <c r="L57" i="11"/>
  <c r="M57" i="11"/>
  <c r="N57" i="11"/>
  <c r="P57" i="11"/>
  <c r="Q57" i="11"/>
  <c r="R57" i="11"/>
  <c r="H58" i="11"/>
  <c r="I58" i="11"/>
  <c r="J58" i="11"/>
  <c r="K58" i="11"/>
  <c r="L58" i="11"/>
  <c r="M58" i="11"/>
  <c r="N58" i="11"/>
  <c r="P58" i="11"/>
  <c r="Q58" i="11"/>
  <c r="R58" i="11"/>
  <c r="H59" i="11"/>
  <c r="I59" i="11"/>
  <c r="J59" i="11"/>
  <c r="K59" i="11"/>
  <c r="L59" i="11"/>
  <c r="M59" i="11"/>
  <c r="N59" i="11"/>
  <c r="P59" i="11"/>
  <c r="Q59" i="11"/>
  <c r="R59" i="11"/>
  <c r="H60" i="11"/>
  <c r="I60" i="11"/>
  <c r="J60" i="11"/>
  <c r="K60" i="11"/>
  <c r="L60" i="11"/>
  <c r="M60" i="11"/>
  <c r="N60" i="11"/>
  <c r="P60" i="11"/>
  <c r="Q60" i="11"/>
  <c r="R60" i="11"/>
  <c r="H61" i="11"/>
  <c r="I61" i="11"/>
  <c r="J61" i="11"/>
  <c r="K61" i="11"/>
  <c r="L61" i="11"/>
  <c r="M61" i="11"/>
  <c r="N61" i="11"/>
  <c r="P61" i="11"/>
  <c r="Q61" i="11"/>
  <c r="R61" i="11"/>
  <c r="H62" i="11"/>
  <c r="I62" i="11"/>
  <c r="J62" i="11"/>
  <c r="K62" i="11"/>
  <c r="L62" i="11"/>
  <c r="M62" i="11"/>
  <c r="N62" i="11"/>
  <c r="P62" i="11"/>
  <c r="Q62" i="11"/>
  <c r="R62" i="11"/>
  <c r="H63" i="11"/>
  <c r="I63" i="11"/>
  <c r="J63" i="11"/>
  <c r="K63" i="11"/>
  <c r="L63" i="11"/>
  <c r="M63" i="11"/>
  <c r="N63" i="11"/>
  <c r="P63" i="11"/>
  <c r="Q63" i="11"/>
  <c r="R63" i="11"/>
  <c r="H64" i="11"/>
  <c r="I64" i="11"/>
  <c r="J64" i="11"/>
  <c r="K64" i="11"/>
  <c r="L64" i="11"/>
  <c r="M64" i="11"/>
  <c r="N64" i="11"/>
  <c r="P64" i="11"/>
  <c r="Q64" i="11"/>
  <c r="R64" i="11"/>
  <c r="H65" i="11"/>
  <c r="I65" i="11"/>
  <c r="J65" i="11"/>
  <c r="K65" i="11"/>
  <c r="L65" i="11"/>
  <c r="M65" i="11"/>
  <c r="N65" i="11"/>
  <c r="P65" i="11"/>
  <c r="Q65" i="11"/>
  <c r="R65" i="11"/>
  <c r="H66" i="11"/>
  <c r="I66" i="11"/>
  <c r="J66" i="11"/>
  <c r="K66" i="11"/>
  <c r="L66" i="11"/>
  <c r="M66" i="11"/>
  <c r="N66" i="11"/>
  <c r="P66" i="11"/>
  <c r="Q66" i="11"/>
  <c r="R66" i="11"/>
  <c r="H67" i="11"/>
  <c r="I67" i="11"/>
  <c r="J67" i="11"/>
  <c r="K67" i="11"/>
  <c r="L67" i="11"/>
  <c r="M67" i="11"/>
  <c r="N67" i="11"/>
  <c r="P67" i="11"/>
  <c r="Q67" i="11"/>
  <c r="R67" i="11"/>
  <c r="H68" i="11"/>
  <c r="I68" i="11"/>
  <c r="J68" i="11"/>
  <c r="K68" i="11"/>
  <c r="L68" i="11"/>
  <c r="M68" i="11"/>
  <c r="N68" i="11"/>
  <c r="P68" i="11"/>
  <c r="Q68" i="11"/>
  <c r="R68" i="11"/>
  <c r="H69" i="11"/>
  <c r="I69" i="11"/>
  <c r="J69" i="11"/>
  <c r="K69" i="11"/>
  <c r="L69" i="11"/>
  <c r="M69" i="11"/>
  <c r="N69" i="11"/>
  <c r="P69" i="11"/>
  <c r="Q69" i="11"/>
  <c r="R69" i="11"/>
  <c r="H70" i="11"/>
  <c r="I70" i="11"/>
  <c r="J70" i="11"/>
  <c r="K70" i="11"/>
  <c r="L70" i="11"/>
  <c r="M70" i="11"/>
  <c r="N70" i="11"/>
  <c r="P70" i="11"/>
  <c r="Q70" i="11"/>
  <c r="R70" i="11"/>
  <c r="H71" i="11"/>
  <c r="I71" i="11"/>
  <c r="J71" i="11"/>
  <c r="K71" i="11"/>
  <c r="L71" i="11"/>
  <c r="M71" i="11"/>
  <c r="N71" i="11"/>
  <c r="P71" i="11"/>
  <c r="Q71" i="11"/>
  <c r="R71" i="11"/>
  <c r="H72" i="11"/>
  <c r="I72" i="11"/>
  <c r="J72" i="11"/>
  <c r="K72" i="11"/>
  <c r="L72" i="11"/>
  <c r="M72" i="11"/>
  <c r="N72" i="11"/>
  <c r="P72" i="11"/>
  <c r="Q72" i="11"/>
  <c r="R72" i="11"/>
  <c r="H73" i="11"/>
  <c r="I73" i="11"/>
  <c r="J73" i="11"/>
  <c r="K73" i="11"/>
  <c r="L73" i="11"/>
  <c r="M73" i="11"/>
  <c r="N73" i="11"/>
  <c r="P73" i="11"/>
  <c r="Q73" i="11"/>
  <c r="R73" i="11"/>
  <c r="H74" i="11"/>
  <c r="I74" i="11"/>
  <c r="J74" i="11"/>
  <c r="K74" i="11"/>
  <c r="L74" i="11"/>
  <c r="M74" i="11"/>
  <c r="N74" i="11"/>
  <c r="P74" i="11"/>
  <c r="Q74" i="11"/>
  <c r="R74" i="11"/>
  <c r="H75" i="11"/>
  <c r="I75" i="11"/>
  <c r="J75" i="11"/>
  <c r="K75" i="11"/>
  <c r="L75" i="11"/>
  <c r="M75" i="11"/>
  <c r="N75" i="11"/>
  <c r="P75" i="11"/>
  <c r="Q75" i="11"/>
  <c r="R75" i="11"/>
  <c r="H82" i="11"/>
  <c r="I82" i="11"/>
  <c r="J82" i="11"/>
  <c r="K82" i="11"/>
  <c r="L82" i="11"/>
  <c r="M82" i="11"/>
  <c r="N82" i="11"/>
  <c r="P82" i="11"/>
  <c r="Q82" i="11"/>
  <c r="R82" i="11"/>
  <c r="H83" i="11"/>
  <c r="I83" i="11"/>
  <c r="J83" i="11"/>
  <c r="K83" i="11"/>
  <c r="L83" i="11"/>
  <c r="M83" i="11"/>
  <c r="N83" i="11"/>
  <c r="P83" i="11"/>
  <c r="Q83" i="11"/>
  <c r="R83" i="11"/>
  <c r="H84" i="11"/>
  <c r="I84" i="11"/>
  <c r="J84" i="11"/>
  <c r="K84" i="11"/>
  <c r="L84" i="11"/>
  <c r="M84" i="11"/>
  <c r="N84" i="11"/>
  <c r="P84" i="11"/>
  <c r="Q84" i="11"/>
  <c r="R84" i="11"/>
  <c r="H90" i="11"/>
  <c r="I90" i="11"/>
  <c r="J90" i="11"/>
  <c r="K90" i="11"/>
  <c r="L90" i="11"/>
  <c r="M90" i="11"/>
  <c r="N90" i="11"/>
  <c r="P90" i="11"/>
  <c r="Q90" i="11"/>
  <c r="R90" i="11"/>
  <c r="H91" i="11"/>
  <c r="I91" i="11"/>
  <c r="J91" i="11"/>
  <c r="K91" i="11"/>
  <c r="L91" i="11"/>
  <c r="M91" i="11"/>
  <c r="N91" i="11"/>
  <c r="P91" i="11"/>
  <c r="Q91" i="11"/>
  <c r="R91" i="11"/>
  <c r="Q2" i="11"/>
  <c r="R2" i="11"/>
  <c r="P2" i="11"/>
  <c r="N2" i="11"/>
  <c r="M2" i="11"/>
  <c r="L2" i="11"/>
  <c r="K2" i="11"/>
  <c r="J2" i="11"/>
  <c r="I2" i="11"/>
  <c r="H2" i="11"/>
  <c r="F25" i="10"/>
  <c r="E25" i="10"/>
  <c r="D25" i="10"/>
  <c r="C25" i="10"/>
  <c r="B25" i="10"/>
  <c r="V166" i="9"/>
  <c r="T166" i="9"/>
  <c r="R166" i="9"/>
  <c r="O166" i="9"/>
  <c r="N166" i="9"/>
  <c r="M166" i="9"/>
  <c r="L166" i="9"/>
  <c r="K166" i="9"/>
  <c r="J166" i="9"/>
  <c r="B166" i="9"/>
  <c r="V165" i="9"/>
  <c r="T165" i="9"/>
  <c r="R165" i="9"/>
  <c r="O165" i="9"/>
  <c r="N165" i="9"/>
  <c r="M165" i="9"/>
  <c r="L165" i="9"/>
  <c r="K165" i="9"/>
  <c r="J165" i="9"/>
  <c r="B165" i="9"/>
  <c r="V164" i="9"/>
  <c r="T164" i="9"/>
  <c r="R164" i="9"/>
  <c r="O164" i="9"/>
  <c r="N164" i="9"/>
  <c r="M164" i="9"/>
  <c r="L164" i="9"/>
  <c r="K164" i="9"/>
  <c r="J164" i="9"/>
  <c r="B164" i="9"/>
  <c r="V163" i="9"/>
  <c r="T163" i="9"/>
  <c r="R163" i="9"/>
  <c r="O163" i="9"/>
  <c r="N163" i="9"/>
  <c r="M163" i="9"/>
  <c r="L163" i="9"/>
  <c r="K163" i="9"/>
  <c r="J163" i="9"/>
  <c r="B163" i="9"/>
  <c r="V162" i="9"/>
  <c r="T162" i="9"/>
  <c r="R162" i="9"/>
  <c r="O162" i="9"/>
  <c r="N162" i="9"/>
  <c r="M162" i="9"/>
  <c r="L162" i="9"/>
  <c r="K162" i="9"/>
  <c r="J162" i="9"/>
  <c r="B162" i="9"/>
  <c r="V161" i="9"/>
  <c r="T161" i="9"/>
  <c r="R161" i="9"/>
  <c r="O161" i="9"/>
  <c r="N161" i="9"/>
  <c r="M161" i="9"/>
  <c r="L161" i="9"/>
  <c r="K161" i="9"/>
  <c r="J161" i="9"/>
  <c r="B161" i="9"/>
  <c r="V160" i="9"/>
  <c r="T160" i="9"/>
  <c r="R160" i="9"/>
  <c r="O160" i="9"/>
  <c r="N160" i="9"/>
  <c r="M160" i="9"/>
  <c r="L160" i="9"/>
  <c r="K160" i="9"/>
  <c r="J160" i="9"/>
  <c r="B160" i="9"/>
  <c r="V159" i="9"/>
  <c r="T159" i="9"/>
  <c r="R159" i="9"/>
  <c r="O159" i="9"/>
  <c r="N159" i="9"/>
  <c r="M159" i="9"/>
  <c r="L159" i="9"/>
  <c r="K159" i="9"/>
  <c r="J159" i="9"/>
  <c r="B159" i="9"/>
  <c r="V158" i="9"/>
  <c r="T158" i="9"/>
  <c r="R158" i="9"/>
  <c r="O158" i="9"/>
  <c r="N158" i="9"/>
  <c r="M158" i="9"/>
  <c r="L158" i="9"/>
  <c r="K158" i="9"/>
  <c r="J158" i="9"/>
  <c r="B158" i="9"/>
  <c r="V157" i="9"/>
  <c r="T157" i="9"/>
  <c r="R157" i="9"/>
  <c r="O157" i="9"/>
  <c r="N157" i="9"/>
  <c r="M157" i="9"/>
  <c r="L157" i="9"/>
  <c r="K157" i="9"/>
  <c r="J157" i="9"/>
  <c r="B157" i="9"/>
  <c r="V156" i="9"/>
  <c r="T156" i="9"/>
  <c r="R156" i="9"/>
  <c r="O156" i="9"/>
  <c r="N156" i="9"/>
  <c r="M156" i="9"/>
  <c r="L156" i="9"/>
  <c r="K156" i="9"/>
  <c r="J156" i="9"/>
  <c r="B156" i="9"/>
  <c r="V155" i="9"/>
  <c r="T155" i="9"/>
  <c r="R155" i="9"/>
  <c r="O155" i="9"/>
  <c r="N155" i="9"/>
  <c r="M155" i="9"/>
  <c r="L155" i="9"/>
  <c r="K155" i="9"/>
  <c r="J155" i="9"/>
  <c r="B155" i="9"/>
  <c r="V154" i="9"/>
  <c r="T154" i="9"/>
  <c r="R154" i="9"/>
  <c r="O154" i="9"/>
  <c r="N154" i="9"/>
  <c r="M154" i="9"/>
  <c r="L154" i="9"/>
  <c r="K154" i="9"/>
  <c r="J154" i="9"/>
  <c r="B154" i="9"/>
  <c r="V153" i="9"/>
  <c r="T153" i="9"/>
  <c r="R153" i="9"/>
  <c r="O153" i="9"/>
  <c r="N153" i="9"/>
  <c r="M153" i="9"/>
  <c r="L153" i="9"/>
  <c r="K153" i="9"/>
  <c r="J153" i="9"/>
  <c r="B153" i="9"/>
  <c r="V152" i="9"/>
  <c r="T152" i="9"/>
  <c r="R152" i="9"/>
  <c r="O152" i="9"/>
  <c r="N152" i="9"/>
  <c r="M152" i="9"/>
  <c r="L152" i="9"/>
  <c r="K152" i="9"/>
  <c r="J152" i="9"/>
  <c r="B152" i="9"/>
  <c r="V151" i="9"/>
  <c r="T151" i="9"/>
  <c r="R151" i="9"/>
  <c r="O151" i="9"/>
  <c r="N151" i="9"/>
  <c r="M151" i="9"/>
  <c r="L151" i="9"/>
  <c r="K151" i="9"/>
  <c r="J151" i="9"/>
  <c r="B151" i="9"/>
  <c r="V150" i="9"/>
  <c r="T150" i="9"/>
  <c r="R150" i="9"/>
  <c r="O150" i="9"/>
  <c r="N150" i="9"/>
  <c r="M150" i="9"/>
  <c r="L150" i="9"/>
  <c r="K150" i="9"/>
  <c r="J150" i="9"/>
  <c r="B150" i="9"/>
  <c r="V149" i="9"/>
  <c r="T149" i="9"/>
  <c r="R149" i="9"/>
  <c r="O149" i="9"/>
  <c r="N149" i="9"/>
  <c r="M149" i="9"/>
  <c r="L149" i="9"/>
  <c r="K149" i="9"/>
  <c r="J149" i="9"/>
  <c r="B149" i="9"/>
  <c r="V148" i="9"/>
  <c r="T148" i="9"/>
  <c r="R148" i="9"/>
  <c r="O148" i="9"/>
  <c r="N148" i="9"/>
  <c r="M148" i="9"/>
  <c r="L148" i="9"/>
  <c r="K148" i="9"/>
  <c r="J148" i="9"/>
  <c r="B148" i="9"/>
  <c r="V147" i="9"/>
  <c r="T147" i="9"/>
  <c r="R147" i="9"/>
  <c r="O147" i="9"/>
  <c r="N147" i="9"/>
  <c r="M147" i="9"/>
  <c r="L147" i="9"/>
  <c r="K147" i="9"/>
  <c r="J147" i="9"/>
  <c r="B147" i="9"/>
  <c r="V146" i="9"/>
  <c r="T146" i="9"/>
  <c r="R146" i="9"/>
  <c r="O146" i="9"/>
  <c r="N146" i="9"/>
  <c r="M146" i="9"/>
  <c r="L146" i="9"/>
  <c r="K146" i="9"/>
  <c r="J146" i="9"/>
  <c r="B146" i="9"/>
  <c r="V145" i="9"/>
  <c r="T145" i="9"/>
  <c r="R145" i="9"/>
  <c r="O145" i="9"/>
  <c r="N145" i="9"/>
  <c r="M145" i="9"/>
  <c r="L145" i="9"/>
  <c r="K145" i="9"/>
  <c r="J145" i="9"/>
  <c r="B145" i="9"/>
  <c r="V144" i="9"/>
  <c r="T144" i="9"/>
  <c r="R144" i="9"/>
  <c r="O144" i="9"/>
  <c r="N144" i="9"/>
  <c r="M144" i="9"/>
  <c r="L144" i="9"/>
  <c r="K144" i="9"/>
  <c r="J144" i="9"/>
  <c r="B144" i="9"/>
  <c r="V143" i="9"/>
  <c r="T143" i="9"/>
  <c r="R143" i="9"/>
  <c r="O143" i="9"/>
  <c r="N143" i="9"/>
  <c r="M143" i="9"/>
  <c r="L143" i="9"/>
  <c r="K143" i="9"/>
  <c r="J143" i="9"/>
  <c r="B143" i="9"/>
  <c r="V142" i="9"/>
  <c r="T142" i="9"/>
  <c r="R142" i="9"/>
  <c r="O142" i="9"/>
  <c r="N142" i="9"/>
  <c r="M142" i="9"/>
  <c r="L142" i="9"/>
  <c r="K142" i="9"/>
  <c r="J142" i="9"/>
  <c r="B142" i="9"/>
  <c r="V141" i="9"/>
  <c r="T141" i="9"/>
  <c r="R141" i="9"/>
  <c r="O141" i="9"/>
  <c r="N141" i="9"/>
  <c r="M141" i="9"/>
  <c r="L141" i="9"/>
  <c r="K141" i="9"/>
  <c r="J141" i="9"/>
  <c r="B141" i="9"/>
  <c r="V140" i="9"/>
  <c r="T140" i="9"/>
  <c r="R140" i="9"/>
  <c r="O140" i="9"/>
  <c r="N140" i="9"/>
  <c r="M140" i="9"/>
  <c r="L140" i="9"/>
  <c r="K140" i="9"/>
  <c r="J140" i="9"/>
  <c r="B140" i="9"/>
  <c r="V139" i="9"/>
  <c r="T139" i="9"/>
  <c r="R139" i="9"/>
  <c r="O139" i="9"/>
  <c r="N139" i="9"/>
  <c r="M139" i="9"/>
  <c r="L139" i="9"/>
  <c r="K139" i="9"/>
  <c r="J139" i="9"/>
  <c r="B139" i="9"/>
  <c r="V138" i="9"/>
  <c r="T138" i="9"/>
  <c r="R138" i="9"/>
  <c r="O138" i="9"/>
  <c r="N138" i="9"/>
  <c r="M138" i="9"/>
  <c r="L138" i="9"/>
  <c r="K138" i="9"/>
  <c r="J138" i="9"/>
  <c r="B138" i="9"/>
  <c r="V137" i="9"/>
  <c r="T137" i="9"/>
  <c r="R137" i="9"/>
  <c r="O137" i="9"/>
  <c r="N137" i="9"/>
  <c r="M137" i="9"/>
  <c r="L137" i="9"/>
  <c r="K137" i="9"/>
  <c r="J137" i="9"/>
  <c r="B137" i="9"/>
  <c r="V136" i="9"/>
  <c r="T136" i="9"/>
  <c r="R136" i="9"/>
  <c r="O136" i="9"/>
  <c r="N136" i="9"/>
  <c r="M136" i="9"/>
  <c r="L136" i="9"/>
  <c r="K136" i="9"/>
  <c r="J136" i="9"/>
  <c r="B136" i="9"/>
  <c r="V135" i="9"/>
  <c r="T135" i="9"/>
  <c r="R135" i="9"/>
  <c r="O135" i="9"/>
  <c r="N135" i="9"/>
  <c r="M135" i="9"/>
  <c r="L135" i="9"/>
  <c r="K135" i="9"/>
  <c r="J135" i="9"/>
  <c r="B135" i="9"/>
  <c r="V134" i="9"/>
  <c r="T134" i="9"/>
  <c r="R134" i="9"/>
  <c r="O134" i="9"/>
  <c r="N134" i="9"/>
  <c r="M134" i="9"/>
  <c r="L134" i="9"/>
  <c r="K134" i="9"/>
  <c r="J134" i="9"/>
  <c r="B134" i="9"/>
  <c r="V133" i="9"/>
  <c r="T133" i="9"/>
  <c r="R133" i="9"/>
  <c r="O133" i="9"/>
  <c r="N133" i="9"/>
  <c r="M133" i="9"/>
  <c r="L133" i="9"/>
  <c r="K133" i="9"/>
  <c r="J133" i="9"/>
  <c r="B133" i="9"/>
  <c r="V132" i="9"/>
  <c r="T132" i="9"/>
  <c r="R132" i="9"/>
  <c r="O132" i="9"/>
  <c r="N132" i="9"/>
  <c r="M132" i="9"/>
  <c r="L132" i="9"/>
  <c r="K132" i="9"/>
  <c r="J132" i="9"/>
  <c r="B132" i="9"/>
  <c r="V131" i="9"/>
  <c r="T131" i="9"/>
  <c r="R131" i="9"/>
  <c r="O131" i="9"/>
  <c r="N131" i="9"/>
  <c r="M131" i="9"/>
  <c r="L131" i="9"/>
  <c r="K131" i="9"/>
  <c r="J131" i="9"/>
  <c r="B131" i="9"/>
  <c r="V130" i="9"/>
  <c r="T130" i="9"/>
  <c r="R130" i="9"/>
  <c r="O130" i="9"/>
  <c r="N130" i="9"/>
  <c r="M130" i="9"/>
  <c r="L130" i="9"/>
  <c r="K130" i="9"/>
  <c r="J130" i="9"/>
  <c r="B130" i="9"/>
  <c r="V129" i="9"/>
  <c r="T129" i="9"/>
  <c r="R129" i="9"/>
  <c r="O129" i="9"/>
  <c r="N129" i="9"/>
  <c r="M129" i="9"/>
  <c r="L129" i="9"/>
  <c r="K129" i="9"/>
  <c r="J129" i="9"/>
  <c r="B129" i="9"/>
  <c r="V128" i="9"/>
  <c r="T128" i="9"/>
  <c r="R128" i="9"/>
  <c r="O128" i="9"/>
  <c r="N128" i="9"/>
  <c r="M128" i="9"/>
  <c r="L128" i="9"/>
  <c r="K128" i="9"/>
  <c r="J128" i="9"/>
  <c r="B128" i="9"/>
  <c r="V127" i="9"/>
  <c r="T127" i="9"/>
  <c r="R127" i="9"/>
  <c r="O127" i="9"/>
  <c r="N127" i="9"/>
  <c r="M127" i="9"/>
  <c r="L127" i="9"/>
  <c r="K127" i="9"/>
  <c r="J127" i="9"/>
  <c r="B127" i="9"/>
  <c r="V126" i="9"/>
  <c r="T126" i="9"/>
  <c r="R126" i="9"/>
  <c r="O126" i="9"/>
  <c r="N126" i="9"/>
  <c r="M126" i="9"/>
  <c r="L126" i="9"/>
  <c r="K126" i="9"/>
  <c r="J126" i="9"/>
  <c r="B126" i="9"/>
  <c r="V125" i="9"/>
  <c r="T125" i="9"/>
  <c r="R125" i="9"/>
  <c r="O125" i="9"/>
  <c r="N125" i="9"/>
  <c r="M125" i="9"/>
  <c r="L125" i="9"/>
  <c r="K125" i="9"/>
  <c r="J125" i="9"/>
  <c r="B125" i="9"/>
  <c r="V124" i="9"/>
  <c r="T124" i="9"/>
  <c r="R124" i="9"/>
  <c r="O124" i="9"/>
  <c r="N124" i="9"/>
  <c r="M124" i="9"/>
  <c r="L124" i="9"/>
  <c r="K124" i="9"/>
  <c r="J124" i="9"/>
  <c r="B124" i="9"/>
  <c r="V123" i="9"/>
  <c r="T123" i="9"/>
  <c r="R123" i="9"/>
  <c r="O123" i="9"/>
  <c r="N123" i="9"/>
  <c r="M123" i="9"/>
  <c r="L123" i="9"/>
  <c r="K123" i="9"/>
  <c r="J123" i="9"/>
  <c r="B123" i="9"/>
  <c r="V122" i="9"/>
  <c r="T122" i="9"/>
  <c r="R122" i="9"/>
  <c r="O122" i="9"/>
  <c r="N122" i="9"/>
  <c r="M122" i="9"/>
  <c r="L122" i="9"/>
  <c r="K122" i="9"/>
  <c r="J122" i="9"/>
  <c r="B122" i="9"/>
  <c r="V121" i="9"/>
  <c r="T121" i="9"/>
  <c r="R121" i="9"/>
  <c r="O121" i="9"/>
  <c r="N121" i="9"/>
  <c r="M121" i="9"/>
  <c r="L121" i="9"/>
  <c r="K121" i="9"/>
  <c r="J121" i="9"/>
  <c r="B121" i="9"/>
  <c r="V120" i="9"/>
  <c r="T120" i="9"/>
  <c r="R120" i="9"/>
  <c r="O120" i="9"/>
  <c r="N120" i="9"/>
  <c r="M120" i="9"/>
  <c r="L120" i="9"/>
  <c r="K120" i="9"/>
  <c r="J120" i="9"/>
  <c r="B120" i="9"/>
  <c r="V119" i="9"/>
  <c r="T119" i="9"/>
  <c r="R119" i="9"/>
  <c r="O119" i="9"/>
  <c r="N119" i="9"/>
  <c r="M119" i="9"/>
  <c r="L119" i="9"/>
  <c r="K119" i="9"/>
  <c r="J119" i="9"/>
  <c r="B119" i="9"/>
  <c r="V118" i="9"/>
  <c r="T118" i="9"/>
  <c r="R118" i="9"/>
  <c r="O118" i="9"/>
  <c r="N118" i="9"/>
  <c r="M118" i="9"/>
  <c r="L118" i="9"/>
  <c r="K118" i="9"/>
  <c r="J118" i="9"/>
  <c r="B118" i="9"/>
  <c r="V117" i="9"/>
  <c r="T117" i="9"/>
  <c r="R117" i="9"/>
  <c r="O117" i="9"/>
  <c r="N117" i="9"/>
  <c r="M117" i="9"/>
  <c r="L117" i="9"/>
  <c r="K117" i="9"/>
  <c r="J117" i="9"/>
  <c r="B117" i="9"/>
  <c r="V116" i="9"/>
  <c r="T116" i="9"/>
  <c r="R116" i="9"/>
  <c r="O116" i="9"/>
  <c r="N116" i="9"/>
  <c r="M116" i="9"/>
  <c r="L116" i="9"/>
  <c r="K116" i="9"/>
  <c r="J116" i="9"/>
  <c r="B116" i="9"/>
  <c r="V115" i="9"/>
  <c r="T115" i="9"/>
  <c r="R115" i="9"/>
  <c r="O115" i="9"/>
  <c r="N115" i="9"/>
  <c r="M115" i="9"/>
  <c r="L115" i="9"/>
  <c r="K115" i="9"/>
  <c r="J115" i="9"/>
  <c r="B115" i="9"/>
  <c r="V114" i="9"/>
  <c r="T114" i="9"/>
  <c r="R114" i="9"/>
  <c r="O114" i="9"/>
  <c r="N114" i="9"/>
  <c r="M114" i="9"/>
  <c r="L114" i="9"/>
  <c r="K114" i="9"/>
  <c r="J114" i="9"/>
  <c r="B114" i="9"/>
  <c r="V113" i="9"/>
  <c r="T113" i="9"/>
  <c r="R113" i="9"/>
  <c r="O113" i="9"/>
  <c r="N113" i="9"/>
  <c r="M113" i="9"/>
  <c r="L113" i="9"/>
  <c r="K113" i="9"/>
  <c r="J113" i="9"/>
  <c r="B113" i="9"/>
  <c r="V112" i="9"/>
  <c r="T112" i="9"/>
  <c r="R112" i="9"/>
  <c r="O112" i="9"/>
  <c r="N112" i="9"/>
  <c r="M112" i="9"/>
  <c r="L112" i="9"/>
  <c r="K112" i="9"/>
  <c r="J112" i="9"/>
  <c r="B112" i="9"/>
  <c r="V111" i="9"/>
  <c r="T111" i="9"/>
  <c r="R111" i="9"/>
  <c r="O111" i="9"/>
  <c r="N111" i="9"/>
  <c r="M111" i="9"/>
  <c r="L111" i="9"/>
  <c r="K111" i="9"/>
  <c r="J111" i="9"/>
  <c r="B111" i="9"/>
  <c r="V110" i="9"/>
  <c r="T110" i="9"/>
  <c r="R110" i="9"/>
  <c r="O110" i="9"/>
  <c r="N110" i="9"/>
  <c r="M110" i="9"/>
  <c r="L110" i="9"/>
  <c r="K110" i="9"/>
  <c r="J110" i="9"/>
  <c r="B110" i="9"/>
  <c r="V109" i="9"/>
  <c r="T109" i="9"/>
  <c r="R109" i="9"/>
  <c r="O109" i="9"/>
  <c r="N109" i="9"/>
  <c r="M109" i="9"/>
  <c r="L109" i="9"/>
  <c r="K109" i="9"/>
  <c r="J109" i="9"/>
  <c r="B109" i="9"/>
  <c r="V108" i="9"/>
  <c r="T108" i="9"/>
  <c r="R108" i="9"/>
  <c r="O108" i="9"/>
  <c r="N108" i="9"/>
  <c r="M108" i="9"/>
  <c r="L108" i="9"/>
  <c r="K108" i="9"/>
  <c r="J108" i="9"/>
  <c r="B108" i="9"/>
  <c r="V107" i="9"/>
  <c r="T107" i="9"/>
  <c r="R107" i="9"/>
  <c r="O107" i="9"/>
  <c r="N107" i="9"/>
  <c r="M107" i="9"/>
  <c r="L107" i="9"/>
  <c r="K107" i="9"/>
  <c r="J107" i="9"/>
  <c r="B107" i="9"/>
  <c r="V106" i="9"/>
  <c r="T106" i="9"/>
  <c r="R106" i="9"/>
  <c r="O106" i="9"/>
  <c r="N106" i="9"/>
  <c r="M106" i="9"/>
  <c r="L106" i="9"/>
  <c r="K106" i="9"/>
  <c r="J106" i="9"/>
  <c r="B106" i="9"/>
  <c r="V105" i="9"/>
  <c r="T105" i="9"/>
  <c r="R105" i="9"/>
  <c r="O105" i="9"/>
  <c r="N105" i="9"/>
  <c r="M105" i="9"/>
  <c r="L105" i="9"/>
  <c r="K105" i="9"/>
  <c r="J105" i="9"/>
  <c r="B105" i="9"/>
  <c r="V104" i="9"/>
  <c r="T104" i="9"/>
  <c r="R104" i="9"/>
  <c r="O104" i="9"/>
  <c r="N104" i="9"/>
  <c r="M104" i="9"/>
  <c r="L104" i="9"/>
  <c r="K104" i="9"/>
  <c r="J104" i="9"/>
  <c r="B104" i="9"/>
  <c r="V103" i="9"/>
  <c r="T103" i="9"/>
  <c r="R103" i="9"/>
  <c r="O103" i="9"/>
  <c r="N103" i="9"/>
  <c r="M103" i="9"/>
  <c r="L103" i="9"/>
  <c r="K103" i="9"/>
  <c r="J103" i="9"/>
  <c r="B103" i="9"/>
  <c r="V102" i="9"/>
  <c r="T102" i="9"/>
  <c r="R102" i="9"/>
  <c r="O102" i="9"/>
  <c r="N102" i="9"/>
  <c r="M102" i="9"/>
  <c r="L102" i="9"/>
  <c r="K102" i="9"/>
  <c r="J102" i="9"/>
  <c r="B102" i="9"/>
  <c r="V101" i="9"/>
  <c r="T101" i="9"/>
  <c r="R101" i="9"/>
  <c r="O101" i="9"/>
  <c r="N101" i="9"/>
  <c r="M101" i="9"/>
  <c r="L101" i="9"/>
  <c r="K101" i="9"/>
  <c r="J101" i="9"/>
  <c r="B101" i="9"/>
  <c r="V100" i="9"/>
  <c r="T100" i="9"/>
  <c r="R100" i="9"/>
  <c r="O100" i="9"/>
  <c r="N100" i="9"/>
  <c r="M100" i="9"/>
  <c r="L100" i="9"/>
  <c r="K100" i="9"/>
  <c r="J100" i="9"/>
  <c r="B100" i="9"/>
  <c r="V99" i="9"/>
  <c r="T99" i="9"/>
  <c r="R99" i="9"/>
  <c r="O99" i="9"/>
  <c r="N99" i="9"/>
  <c r="M99" i="9"/>
  <c r="L99" i="9"/>
  <c r="K99" i="9"/>
  <c r="J99" i="9"/>
  <c r="B99" i="9"/>
  <c r="V98" i="9"/>
  <c r="T98" i="9"/>
  <c r="R98" i="9"/>
  <c r="O98" i="9"/>
  <c r="N98" i="9"/>
  <c r="M98" i="9"/>
  <c r="L98" i="9"/>
  <c r="K98" i="9"/>
  <c r="J98" i="9"/>
  <c r="B98" i="9"/>
  <c r="V97" i="9"/>
  <c r="T97" i="9"/>
  <c r="R97" i="9"/>
  <c r="O97" i="9"/>
  <c r="N97" i="9"/>
  <c r="M97" i="9"/>
  <c r="L97" i="9"/>
  <c r="K97" i="9"/>
  <c r="J97" i="9"/>
  <c r="B97" i="9"/>
  <c r="V96" i="9"/>
  <c r="T96" i="9"/>
  <c r="R96" i="9"/>
  <c r="O96" i="9"/>
  <c r="N96" i="9"/>
  <c r="M96" i="9"/>
  <c r="L96" i="9"/>
  <c r="K96" i="9"/>
  <c r="J96" i="9"/>
  <c r="B96" i="9"/>
  <c r="V95" i="9"/>
  <c r="T95" i="9"/>
  <c r="R95" i="9"/>
  <c r="O95" i="9"/>
  <c r="N95" i="9"/>
  <c r="M95" i="9"/>
  <c r="L95" i="9"/>
  <c r="K95" i="9"/>
  <c r="J95" i="9"/>
  <c r="B95" i="9"/>
  <c r="V94" i="9"/>
  <c r="T94" i="9"/>
  <c r="R94" i="9"/>
  <c r="O94" i="9"/>
  <c r="N94" i="9"/>
  <c r="M94" i="9"/>
  <c r="L94" i="9"/>
  <c r="K94" i="9"/>
  <c r="J94" i="9"/>
  <c r="B94" i="9"/>
  <c r="V93" i="9"/>
  <c r="T93" i="9"/>
  <c r="R93" i="9"/>
  <c r="O93" i="9"/>
  <c r="N93" i="9"/>
  <c r="M93" i="9"/>
  <c r="L93" i="9"/>
  <c r="K93" i="9"/>
  <c r="J93" i="9"/>
  <c r="B93" i="9"/>
  <c r="V92" i="9"/>
  <c r="T92" i="9"/>
  <c r="R92" i="9"/>
  <c r="O92" i="9"/>
  <c r="N92" i="9"/>
  <c r="M92" i="9"/>
  <c r="L92" i="9"/>
  <c r="K92" i="9"/>
  <c r="J92" i="9"/>
  <c r="B92" i="9"/>
  <c r="V91" i="9"/>
  <c r="T91" i="9"/>
  <c r="R91" i="9"/>
  <c r="O91" i="9"/>
  <c r="N91" i="9"/>
  <c r="M91" i="9"/>
  <c r="L91" i="9"/>
  <c r="K91" i="9"/>
  <c r="J91" i="9"/>
  <c r="B91" i="9"/>
  <c r="V90" i="9"/>
  <c r="T90" i="9"/>
  <c r="R90" i="9"/>
  <c r="O90" i="9"/>
  <c r="N90" i="9"/>
  <c r="M90" i="9"/>
  <c r="L90" i="9"/>
  <c r="K90" i="9"/>
  <c r="J90" i="9"/>
  <c r="B90" i="9"/>
  <c r="V89" i="9"/>
  <c r="T89" i="9"/>
  <c r="R89" i="9"/>
  <c r="O89" i="9"/>
  <c r="N89" i="9"/>
  <c r="M89" i="9"/>
  <c r="L89" i="9"/>
  <c r="K89" i="9"/>
  <c r="J89" i="9"/>
  <c r="B89" i="9"/>
  <c r="V88" i="9"/>
  <c r="T88" i="9"/>
  <c r="R88" i="9"/>
  <c r="O88" i="9"/>
  <c r="N88" i="9"/>
  <c r="M88" i="9"/>
  <c r="L88" i="9"/>
  <c r="K88" i="9"/>
  <c r="J88" i="9"/>
  <c r="B88" i="9"/>
  <c r="V87" i="9"/>
  <c r="T87" i="9"/>
  <c r="R87" i="9"/>
  <c r="O87" i="9"/>
  <c r="N87" i="9"/>
  <c r="M87" i="9"/>
  <c r="L87" i="9"/>
  <c r="K87" i="9"/>
  <c r="J87" i="9"/>
  <c r="B87" i="9"/>
  <c r="V86" i="9"/>
  <c r="T86" i="9"/>
  <c r="R86" i="9"/>
  <c r="O86" i="9"/>
  <c r="N86" i="9"/>
  <c r="M86" i="9"/>
  <c r="L86" i="9"/>
  <c r="K86" i="9"/>
  <c r="J86" i="9"/>
  <c r="B86" i="9"/>
  <c r="V85" i="9"/>
  <c r="T85" i="9"/>
  <c r="R85" i="9"/>
  <c r="O85" i="9"/>
  <c r="N85" i="9"/>
  <c r="M85" i="9"/>
  <c r="L85" i="9"/>
  <c r="K85" i="9"/>
  <c r="J85" i="9"/>
  <c r="B85" i="9"/>
  <c r="V84" i="9"/>
  <c r="T84" i="9"/>
  <c r="R84" i="9"/>
  <c r="O84" i="9"/>
  <c r="N84" i="9"/>
  <c r="M84" i="9"/>
  <c r="L84" i="9"/>
  <c r="K84" i="9"/>
  <c r="J84" i="9"/>
  <c r="B84" i="9"/>
  <c r="V83" i="9"/>
  <c r="T83" i="9"/>
  <c r="R83" i="9"/>
  <c r="O83" i="9"/>
  <c r="N83" i="9"/>
  <c r="M83" i="9"/>
  <c r="L83" i="9"/>
  <c r="K83" i="9"/>
  <c r="J83" i="9"/>
  <c r="B83" i="9"/>
  <c r="V82" i="9"/>
  <c r="T82" i="9"/>
  <c r="R82" i="9"/>
  <c r="O82" i="9"/>
  <c r="N82" i="9"/>
  <c r="M82" i="9"/>
  <c r="L82" i="9"/>
  <c r="K82" i="9"/>
  <c r="J82" i="9"/>
  <c r="B82" i="9"/>
  <c r="V81" i="9"/>
  <c r="T81" i="9"/>
  <c r="R81" i="9"/>
  <c r="O81" i="9"/>
  <c r="N81" i="9"/>
  <c r="M81" i="9"/>
  <c r="L81" i="9"/>
  <c r="K81" i="9"/>
  <c r="J81" i="9"/>
  <c r="B81" i="9"/>
  <c r="V80" i="9"/>
  <c r="T80" i="9"/>
  <c r="R80" i="9"/>
  <c r="O80" i="9"/>
  <c r="N80" i="9"/>
  <c r="M80" i="9"/>
  <c r="L80" i="9"/>
  <c r="K80" i="9"/>
  <c r="J80" i="9"/>
  <c r="B80" i="9"/>
  <c r="V79" i="9"/>
  <c r="T79" i="9"/>
  <c r="R79" i="9"/>
  <c r="O79" i="9"/>
  <c r="N79" i="9"/>
  <c r="M79" i="9"/>
  <c r="L79" i="9"/>
  <c r="K79" i="9"/>
  <c r="J79" i="9"/>
  <c r="B79" i="9"/>
  <c r="V78" i="9"/>
  <c r="T78" i="9"/>
  <c r="R78" i="9"/>
  <c r="O78" i="9"/>
  <c r="N78" i="9"/>
  <c r="M78" i="9"/>
  <c r="L78" i="9"/>
  <c r="K78" i="9"/>
  <c r="J78" i="9"/>
  <c r="B78" i="9"/>
  <c r="V77" i="9"/>
  <c r="T77" i="9"/>
  <c r="R77" i="9"/>
  <c r="O77" i="9"/>
  <c r="N77" i="9"/>
  <c r="M77" i="9"/>
  <c r="L77" i="9"/>
  <c r="K77" i="9"/>
  <c r="J77" i="9"/>
  <c r="B77" i="9"/>
  <c r="V76" i="9"/>
  <c r="T76" i="9"/>
  <c r="R76" i="9"/>
  <c r="O76" i="9"/>
  <c r="N76" i="9"/>
  <c r="M76" i="9"/>
  <c r="L76" i="9"/>
  <c r="K76" i="9"/>
  <c r="J76" i="9"/>
  <c r="B76" i="9"/>
  <c r="V75" i="9"/>
  <c r="T75" i="9"/>
  <c r="R75" i="9"/>
  <c r="O75" i="9"/>
  <c r="N75" i="9"/>
  <c r="M75" i="9"/>
  <c r="L75" i="9"/>
  <c r="K75" i="9"/>
  <c r="J75" i="9"/>
  <c r="B75" i="9"/>
  <c r="V74" i="9"/>
  <c r="T74" i="9"/>
  <c r="R74" i="9"/>
  <c r="O74" i="9"/>
  <c r="N74" i="9"/>
  <c r="M74" i="9"/>
  <c r="L74" i="9"/>
  <c r="K74" i="9"/>
  <c r="J74" i="9"/>
  <c r="B74" i="9"/>
  <c r="V73" i="9"/>
  <c r="T73" i="9"/>
  <c r="R73" i="9"/>
  <c r="O73" i="9"/>
  <c r="N73" i="9"/>
  <c r="M73" i="9"/>
  <c r="L73" i="9"/>
  <c r="K73" i="9"/>
  <c r="J73" i="9"/>
  <c r="B73" i="9"/>
  <c r="V72" i="9"/>
  <c r="T72" i="9"/>
  <c r="R72" i="9"/>
  <c r="O72" i="9"/>
  <c r="N72" i="9"/>
  <c r="M72" i="9"/>
  <c r="L72" i="9"/>
  <c r="K72" i="9"/>
  <c r="J72" i="9"/>
  <c r="B72" i="9"/>
  <c r="V71" i="9"/>
  <c r="T71" i="9"/>
  <c r="R71" i="9"/>
  <c r="O71" i="9"/>
  <c r="N71" i="9"/>
  <c r="M71" i="9"/>
  <c r="L71" i="9"/>
  <c r="K71" i="9"/>
  <c r="J71" i="9"/>
  <c r="B71" i="9"/>
  <c r="V70" i="9"/>
  <c r="T70" i="9"/>
  <c r="R70" i="9"/>
  <c r="O70" i="9"/>
  <c r="N70" i="9"/>
  <c r="M70" i="9"/>
  <c r="L70" i="9"/>
  <c r="K70" i="9"/>
  <c r="J70" i="9"/>
  <c r="B70" i="9"/>
  <c r="V69" i="9"/>
  <c r="T69" i="9"/>
  <c r="R69" i="9"/>
  <c r="O69" i="9"/>
  <c r="N69" i="9"/>
  <c r="M69" i="9"/>
  <c r="L69" i="9"/>
  <c r="K69" i="9"/>
  <c r="J69" i="9"/>
  <c r="B69" i="9"/>
  <c r="V68" i="9"/>
  <c r="T68" i="9"/>
  <c r="R68" i="9"/>
  <c r="O68" i="9"/>
  <c r="N68" i="9"/>
  <c r="M68" i="9"/>
  <c r="L68" i="9"/>
  <c r="K68" i="9"/>
  <c r="J68" i="9"/>
  <c r="B68" i="9"/>
  <c r="V67" i="9"/>
  <c r="T67" i="9"/>
  <c r="R67" i="9"/>
  <c r="O67" i="9"/>
  <c r="N67" i="9"/>
  <c r="M67" i="9"/>
  <c r="L67" i="9"/>
  <c r="K67" i="9"/>
  <c r="J67" i="9"/>
  <c r="B67" i="9"/>
  <c r="V66" i="9"/>
  <c r="T66" i="9"/>
  <c r="R66" i="9"/>
  <c r="O66" i="9"/>
  <c r="N66" i="9"/>
  <c r="M66" i="9"/>
  <c r="L66" i="9"/>
  <c r="K66" i="9"/>
  <c r="J66" i="9"/>
  <c r="B66" i="9"/>
  <c r="V65" i="9"/>
  <c r="T65" i="9"/>
  <c r="R65" i="9"/>
  <c r="O65" i="9"/>
  <c r="N65" i="9"/>
  <c r="M65" i="9"/>
  <c r="L65" i="9"/>
  <c r="K65" i="9"/>
  <c r="J65" i="9"/>
  <c r="B65" i="9"/>
  <c r="V64" i="9"/>
  <c r="T64" i="9"/>
  <c r="R64" i="9"/>
  <c r="O64" i="9"/>
  <c r="N64" i="9"/>
  <c r="M64" i="9"/>
  <c r="L64" i="9"/>
  <c r="K64" i="9"/>
  <c r="J64" i="9"/>
  <c r="B64" i="9"/>
  <c r="V63" i="9"/>
  <c r="T63" i="9"/>
  <c r="R63" i="9"/>
  <c r="O63" i="9"/>
  <c r="N63" i="9"/>
  <c r="M63" i="9"/>
  <c r="L63" i="9"/>
  <c r="K63" i="9"/>
  <c r="J63" i="9"/>
  <c r="B63" i="9"/>
  <c r="V62" i="9"/>
  <c r="T62" i="9"/>
  <c r="R62" i="9"/>
  <c r="O62" i="9"/>
  <c r="N62" i="9"/>
  <c r="M62" i="9"/>
  <c r="L62" i="9"/>
  <c r="K62" i="9"/>
  <c r="J62" i="9"/>
  <c r="B62" i="9"/>
  <c r="V61" i="9"/>
  <c r="T61" i="9"/>
  <c r="R61" i="9"/>
  <c r="O61" i="9"/>
  <c r="N61" i="9"/>
  <c r="M61" i="9"/>
  <c r="L61" i="9"/>
  <c r="K61" i="9"/>
  <c r="J61" i="9"/>
  <c r="B61" i="9"/>
  <c r="V60" i="9"/>
  <c r="T60" i="9"/>
  <c r="R60" i="9"/>
  <c r="O60" i="9"/>
  <c r="N60" i="9"/>
  <c r="M60" i="9"/>
  <c r="L60" i="9"/>
  <c r="K60" i="9"/>
  <c r="J60" i="9"/>
  <c r="B60" i="9"/>
  <c r="V59" i="9"/>
  <c r="T59" i="9"/>
  <c r="R59" i="9"/>
  <c r="O59" i="9"/>
  <c r="N59" i="9"/>
  <c r="M59" i="9"/>
  <c r="L59" i="9"/>
  <c r="K59" i="9"/>
  <c r="J59" i="9"/>
  <c r="B59" i="9"/>
  <c r="V58" i="9"/>
  <c r="T58" i="9"/>
  <c r="R58" i="9"/>
  <c r="O58" i="9"/>
  <c r="N58" i="9"/>
  <c r="M58" i="9"/>
  <c r="L58" i="9"/>
  <c r="K58" i="9"/>
  <c r="J58" i="9"/>
  <c r="B58" i="9"/>
  <c r="V57" i="9"/>
  <c r="T57" i="9"/>
  <c r="R57" i="9"/>
  <c r="O57" i="9"/>
  <c r="N57" i="9"/>
  <c r="M57" i="9"/>
  <c r="L57" i="9"/>
  <c r="K57" i="9"/>
  <c r="J57" i="9"/>
  <c r="B57" i="9"/>
  <c r="V56" i="9"/>
  <c r="T56" i="9"/>
  <c r="R56" i="9"/>
  <c r="O56" i="9"/>
  <c r="N56" i="9"/>
  <c r="M56" i="9"/>
  <c r="L56" i="9"/>
  <c r="K56" i="9"/>
  <c r="J56" i="9"/>
  <c r="B56" i="9"/>
  <c r="V55" i="9"/>
  <c r="T55" i="9"/>
  <c r="R55" i="9"/>
  <c r="O55" i="9"/>
  <c r="N55" i="9"/>
  <c r="M55" i="9"/>
  <c r="L55" i="9"/>
  <c r="K55" i="9"/>
  <c r="J55" i="9"/>
  <c r="B55" i="9"/>
  <c r="V54" i="9"/>
  <c r="T54" i="9"/>
  <c r="R54" i="9"/>
  <c r="O54" i="9"/>
  <c r="N54" i="9"/>
  <c r="M54" i="9"/>
  <c r="L54" i="9"/>
  <c r="K54" i="9"/>
  <c r="J54" i="9"/>
  <c r="B54" i="9"/>
  <c r="V53" i="9"/>
  <c r="T53" i="9"/>
  <c r="R53" i="9"/>
  <c r="O53" i="9"/>
  <c r="N53" i="9"/>
  <c r="M53" i="9"/>
  <c r="L53" i="9"/>
  <c r="K53" i="9"/>
  <c r="J53" i="9"/>
  <c r="B53" i="9"/>
  <c r="V52" i="9"/>
  <c r="T52" i="9"/>
  <c r="R52" i="9"/>
  <c r="O52" i="9"/>
  <c r="N52" i="9"/>
  <c r="M52" i="9"/>
  <c r="L52" i="9"/>
  <c r="K52" i="9"/>
  <c r="J52" i="9"/>
  <c r="B52" i="9"/>
  <c r="V51" i="9"/>
  <c r="T51" i="9"/>
  <c r="R51" i="9"/>
  <c r="O51" i="9"/>
  <c r="N51" i="9"/>
  <c r="M51" i="9"/>
  <c r="L51" i="9"/>
  <c r="K51" i="9"/>
  <c r="J51" i="9"/>
  <c r="B51" i="9"/>
  <c r="V50" i="9"/>
  <c r="T50" i="9"/>
  <c r="R50" i="9"/>
  <c r="O50" i="9"/>
  <c r="N50" i="9"/>
  <c r="M50" i="9"/>
  <c r="L50" i="9"/>
  <c r="K50" i="9"/>
  <c r="J50" i="9"/>
  <c r="B50" i="9"/>
  <c r="V49" i="9"/>
  <c r="T49" i="9"/>
  <c r="R49" i="9"/>
  <c r="O49" i="9"/>
  <c r="N49" i="9"/>
  <c r="M49" i="9"/>
  <c r="L49" i="9"/>
  <c r="K49" i="9"/>
  <c r="J49" i="9"/>
  <c r="B49" i="9"/>
  <c r="V48" i="9"/>
  <c r="T48" i="9"/>
  <c r="R48" i="9"/>
  <c r="O48" i="9"/>
  <c r="N48" i="9"/>
  <c r="M48" i="9"/>
  <c r="L48" i="9"/>
  <c r="K48" i="9"/>
  <c r="J48" i="9"/>
  <c r="B48" i="9"/>
  <c r="V47" i="9"/>
  <c r="T47" i="9"/>
  <c r="R47" i="9"/>
  <c r="O47" i="9"/>
  <c r="N47" i="9"/>
  <c r="M47" i="9"/>
  <c r="L47" i="9"/>
  <c r="K47" i="9"/>
  <c r="J47" i="9"/>
  <c r="B47" i="9"/>
  <c r="V46" i="9"/>
  <c r="T46" i="9"/>
  <c r="R46" i="9"/>
  <c r="O46" i="9"/>
  <c r="N46" i="9"/>
  <c r="M46" i="9"/>
  <c r="L46" i="9"/>
  <c r="K46" i="9"/>
  <c r="J46" i="9"/>
  <c r="B46" i="9"/>
  <c r="V45" i="9"/>
  <c r="T45" i="9"/>
  <c r="R45" i="9"/>
  <c r="O45" i="9"/>
  <c r="N45" i="9"/>
  <c r="M45" i="9"/>
  <c r="L45" i="9"/>
  <c r="K45" i="9"/>
  <c r="J45" i="9"/>
  <c r="B45" i="9"/>
  <c r="V44" i="9"/>
  <c r="T44" i="9"/>
  <c r="R44" i="9"/>
  <c r="O44" i="9"/>
  <c r="N44" i="9"/>
  <c r="M44" i="9"/>
  <c r="L44" i="9"/>
  <c r="K44" i="9"/>
  <c r="J44" i="9"/>
  <c r="B44" i="9"/>
  <c r="V43" i="9"/>
  <c r="T43" i="9"/>
  <c r="R43" i="9"/>
  <c r="O43" i="9"/>
  <c r="N43" i="9"/>
  <c r="M43" i="9"/>
  <c r="L43" i="9"/>
  <c r="K43" i="9"/>
  <c r="J43" i="9"/>
  <c r="B43" i="9"/>
  <c r="V42" i="9"/>
  <c r="T42" i="9"/>
  <c r="R42" i="9"/>
  <c r="O42" i="9"/>
  <c r="N42" i="9"/>
  <c r="M42" i="9"/>
  <c r="L42" i="9"/>
  <c r="K42" i="9"/>
  <c r="J42" i="9"/>
  <c r="B42" i="9"/>
  <c r="V41" i="9"/>
  <c r="T41" i="9"/>
  <c r="R41" i="9"/>
  <c r="O41" i="9"/>
  <c r="N41" i="9"/>
  <c r="M41" i="9"/>
  <c r="L41" i="9"/>
  <c r="K41" i="9"/>
  <c r="J41" i="9"/>
  <c r="B41" i="9"/>
  <c r="V40" i="9"/>
  <c r="T40" i="9"/>
  <c r="R40" i="9"/>
  <c r="O40" i="9"/>
  <c r="N40" i="9"/>
  <c r="M40" i="9"/>
  <c r="L40" i="9"/>
  <c r="K40" i="9"/>
  <c r="J40" i="9"/>
  <c r="B40" i="9"/>
  <c r="V39" i="9"/>
  <c r="T39" i="9"/>
  <c r="R39" i="9"/>
  <c r="O39" i="9"/>
  <c r="N39" i="9"/>
  <c r="M39" i="9"/>
  <c r="L39" i="9"/>
  <c r="K39" i="9"/>
  <c r="J39" i="9"/>
  <c r="B39" i="9"/>
  <c r="V38" i="9"/>
  <c r="T38" i="9"/>
  <c r="R38" i="9"/>
  <c r="O38" i="9"/>
  <c r="N38" i="9"/>
  <c r="M38" i="9"/>
  <c r="L38" i="9"/>
  <c r="K38" i="9"/>
  <c r="J38" i="9"/>
  <c r="B38" i="9"/>
  <c r="V37" i="9"/>
  <c r="T37" i="9"/>
  <c r="R37" i="9"/>
  <c r="O37" i="9"/>
  <c r="N37" i="9"/>
  <c r="M37" i="9"/>
  <c r="L37" i="9"/>
  <c r="K37" i="9"/>
  <c r="J37" i="9"/>
  <c r="B37" i="9"/>
  <c r="V36" i="9"/>
  <c r="T36" i="9"/>
  <c r="R36" i="9"/>
  <c r="O36" i="9"/>
  <c r="N36" i="9"/>
  <c r="M36" i="9"/>
  <c r="L36" i="9"/>
  <c r="K36" i="9"/>
  <c r="J36" i="9"/>
  <c r="B36" i="9"/>
  <c r="V35" i="9"/>
  <c r="T35" i="9"/>
  <c r="R35" i="9"/>
  <c r="O35" i="9"/>
  <c r="N35" i="9"/>
  <c r="M35" i="9"/>
  <c r="L35" i="9"/>
  <c r="K35" i="9"/>
  <c r="J35" i="9"/>
  <c r="B35" i="9"/>
  <c r="V34" i="9"/>
  <c r="T34" i="9"/>
  <c r="R34" i="9"/>
  <c r="O34" i="9"/>
  <c r="N34" i="9"/>
  <c r="M34" i="9"/>
  <c r="L34" i="9"/>
  <c r="K34" i="9"/>
  <c r="J34" i="9"/>
  <c r="B34" i="9"/>
  <c r="V33" i="9"/>
  <c r="T33" i="9"/>
  <c r="R33" i="9"/>
  <c r="O33" i="9"/>
  <c r="N33" i="9"/>
  <c r="M33" i="9"/>
  <c r="L33" i="9"/>
  <c r="K33" i="9"/>
  <c r="J33" i="9"/>
  <c r="B33" i="9"/>
  <c r="V32" i="9"/>
  <c r="T32" i="9"/>
  <c r="R32" i="9"/>
  <c r="O32" i="9"/>
  <c r="N32" i="9"/>
  <c r="M32" i="9"/>
  <c r="L32" i="9"/>
  <c r="K32" i="9"/>
  <c r="J32" i="9"/>
  <c r="B32" i="9"/>
  <c r="V31" i="9"/>
  <c r="T31" i="9"/>
  <c r="R31" i="9"/>
  <c r="O31" i="9"/>
  <c r="N31" i="9"/>
  <c r="M31" i="9"/>
  <c r="L31" i="9"/>
  <c r="K31" i="9"/>
  <c r="J31" i="9"/>
  <c r="B31" i="9"/>
  <c r="V30" i="9"/>
  <c r="T30" i="9"/>
  <c r="R30" i="9"/>
  <c r="O30" i="9"/>
  <c r="N30" i="9"/>
  <c r="M30" i="9"/>
  <c r="L30" i="9"/>
  <c r="K30" i="9"/>
  <c r="J30" i="9"/>
  <c r="B30" i="9"/>
  <c r="V29" i="9"/>
  <c r="T29" i="9"/>
  <c r="R29" i="9"/>
  <c r="O29" i="9"/>
  <c r="N29" i="9"/>
  <c r="M29" i="9"/>
  <c r="L29" i="9"/>
  <c r="K29" i="9"/>
  <c r="J29" i="9"/>
  <c r="B29" i="9"/>
  <c r="V28" i="9"/>
  <c r="T28" i="9"/>
  <c r="R28" i="9"/>
  <c r="O28" i="9"/>
  <c r="N28" i="9"/>
  <c r="M28" i="9"/>
  <c r="L28" i="9"/>
  <c r="K28" i="9"/>
  <c r="J28" i="9"/>
  <c r="B28" i="9"/>
  <c r="V27" i="9"/>
  <c r="T27" i="9"/>
  <c r="R27" i="9"/>
  <c r="O27" i="9"/>
  <c r="N27" i="9"/>
  <c r="M27" i="9"/>
  <c r="L27" i="9"/>
  <c r="K27" i="9"/>
  <c r="J27" i="9"/>
  <c r="B27" i="9"/>
  <c r="V26" i="9"/>
  <c r="T26" i="9"/>
  <c r="R26" i="9"/>
  <c r="O26" i="9"/>
  <c r="N26" i="9"/>
  <c r="M26" i="9"/>
  <c r="L26" i="9"/>
  <c r="K26" i="9"/>
  <c r="J26" i="9"/>
  <c r="B26" i="9"/>
  <c r="V25" i="9"/>
  <c r="T25" i="9"/>
  <c r="R25" i="9"/>
  <c r="O25" i="9"/>
  <c r="N25" i="9"/>
  <c r="M25" i="9"/>
  <c r="L25" i="9"/>
  <c r="K25" i="9"/>
  <c r="J25" i="9"/>
  <c r="B25" i="9"/>
  <c r="V24" i="9"/>
  <c r="T24" i="9"/>
  <c r="R24" i="9"/>
  <c r="O24" i="9"/>
  <c r="N24" i="9"/>
  <c r="M24" i="9"/>
  <c r="L24" i="9"/>
  <c r="K24" i="9"/>
  <c r="J24" i="9"/>
  <c r="B24" i="9"/>
  <c r="V23" i="9"/>
  <c r="T23" i="9"/>
  <c r="R23" i="9"/>
  <c r="O23" i="9"/>
  <c r="N23" i="9"/>
  <c r="M23" i="9"/>
  <c r="L23" i="9"/>
  <c r="K23" i="9"/>
  <c r="J23" i="9"/>
  <c r="B23" i="9"/>
  <c r="V22" i="9"/>
  <c r="T22" i="9"/>
  <c r="R22" i="9"/>
  <c r="O22" i="9"/>
  <c r="N22" i="9"/>
  <c r="M22" i="9"/>
  <c r="L22" i="9"/>
  <c r="K22" i="9"/>
  <c r="J22" i="9"/>
  <c r="B22" i="9"/>
  <c r="V21" i="9"/>
  <c r="T21" i="9"/>
  <c r="R21" i="9"/>
  <c r="O21" i="9"/>
  <c r="N21" i="9"/>
  <c r="M21" i="9"/>
  <c r="L21" i="9"/>
  <c r="K21" i="9"/>
  <c r="J21" i="9"/>
  <c r="B21" i="9"/>
  <c r="V20" i="9"/>
  <c r="T20" i="9"/>
  <c r="R20" i="9"/>
  <c r="O20" i="9"/>
  <c r="N20" i="9"/>
  <c r="M20" i="9"/>
  <c r="L20" i="9"/>
  <c r="K20" i="9"/>
  <c r="J20" i="9"/>
  <c r="B20" i="9"/>
  <c r="V19" i="9"/>
  <c r="T19" i="9"/>
  <c r="R19" i="9"/>
  <c r="O19" i="9"/>
  <c r="N19" i="9"/>
  <c r="M19" i="9"/>
  <c r="L19" i="9"/>
  <c r="K19" i="9"/>
  <c r="J19" i="9"/>
  <c r="B19" i="9"/>
  <c r="V18" i="9"/>
  <c r="T18" i="9"/>
  <c r="R18" i="9"/>
  <c r="O18" i="9"/>
  <c r="N18" i="9"/>
  <c r="M18" i="9"/>
  <c r="L18" i="9"/>
  <c r="K18" i="9"/>
  <c r="J18" i="9"/>
  <c r="B18" i="9"/>
  <c r="V17" i="9"/>
  <c r="T17" i="9"/>
  <c r="R17" i="9"/>
  <c r="O17" i="9"/>
  <c r="N17" i="9"/>
  <c r="M17" i="9"/>
  <c r="L17" i="9"/>
  <c r="K17" i="9"/>
  <c r="J17" i="9"/>
  <c r="B17" i="9"/>
  <c r="V16" i="9"/>
  <c r="T16" i="9"/>
  <c r="R16" i="9"/>
  <c r="O16" i="9"/>
  <c r="N16" i="9"/>
  <c r="M16" i="9"/>
  <c r="L16" i="9"/>
  <c r="K16" i="9"/>
  <c r="J16" i="9"/>
  <c r="B16" i="9"/>
  <c r="V15" i="9"/>
  <c r="T15" i="9"/>
  <c r="R15" i="9"/>
  <c r="O15" i="9"/>
  <c r="N15" i="9"/>
  <c r="M15" i="9"/>
  <c r="L15" i="9"/>
  <c r="K15" i="9"/>
  <c r="J15" i="9"/>
  <c r="B15" i="9"/>
  <c r="V14" i="9"/>
  <c r="T14" i="9"/>
  <c r="R14" i="9"/>
  <c r="O14" i="9"/>
  <c r="N14" i="9"/>
  <c r="M14" i="9"/>
  <c r="L14" i="9"/>
  <c r="K14" i="9"/>
  <c r="J14" i="9"/>
  <c r="B14" i="9"/>
  <c r="V13" i="9"/>
  <c r="T13" i="9"/>
  <c r="R13" i="9"/>
  <c r="O13" i="9"/>
  <c r="N13" i="9"/>
  <c r="M13" i="9"/>
  <c r="L13" i="9"/>
  <c r="K13" i="9"/>
  <c r="J13" i="9"/>
  <c r="B13" i="9"/>
  <c r="V12" i="9"/>
  <c r="T12" i="9"/>
  <c r="R12" i="9"/>
  <c r="O12" i="9"/>
  <c r="N12" i="9"/>
  <c r="M12" i="9"/>
  <c r="L12" i="9"/>
  <c r="K12" i="9"/>
  <c r="J12" i="9"/>
  <c r="B12" i="9"/>
  <c r="V11" i="9"/>
  <c r="T11" i="9"/>
  <c r="R11" i="9"/>
  <c r="O11" i="9"/>
  <c r="N11" i="9"/>
  <c r="M11" i="9"/>
  <c r="L11" i="9"/>
  <c r="K11" i="9"/>
  <c r="J11" i="9"/>
  <c r="B11" i="9"/>
  <c r="V10" i="9"/>
  <c r="T10" i="9"/>
  <c r="R10" i="9"/>
  <c r="O10" i="9"/>
  <c r="N10" i="9"/>
  <c r="M10" i="9"/>
  <c r="L10" i="9"/>
  <c r="K10" i="9"/>
  <c r="J10" i="9"/>
  <c r="B10" i="9"/>
  <c r="V9" i="9"/>
  <c r="T9" i="9"/>
  <c r="R9" i="9"/>
  <c r="O9" i="9"/>
  <c r="N9" i="9"/>
  <c r="M9" i="9"/>
  <c r="L9" i="9"/>
  <c r="K9" i="9"/>
  <c r="J9" i="9"/>
  <c r="B9" i="9"/>
  <c r="V8" i="9"/>
  <c r="T8" i="9"/>
  <c r="R8" i="9"/>
  <c r="O8" i="9"/>
  <c r="N8" i="9"/>
  <c r="M8" i="9"/>
  <c r="L8" i="9"/>
  <c r="K8" i="9"/>
  <c r="J8" i="9"/>
  <c r="B8" i="9"/>
  <c r="V7" i="9"/>
  <c r="T7" i="9"/>
  <c r="R7" i="9"/>
  <c r="O7" i="9"/>
  <c r="N7" i="9"/>
  <c r="M7" i="9"/>
  <c r="L7" i="9"/>
  <c r="K7" i="9"/>
  <c r="J7" i="9"/>
  <c r="B7" i="9"/>
  <c r="V6" i="9"/>
  <c r="T6" i="9"/>
  <c r="R6" i="9"/>
  <c r="O6" i="9"/>
  <c r="N6" i="9"/>
  <c r="M6" i="9"/>
  <c r="L6" i="9"/>
  <c r="K6" i="9"/>
  <c r="J6" i="9"/>
  <c r="B6" i="9"/>
  <c r="V5" i="9"/>
  <c r="T5" i="9"/>
  <c r="R5" i="9"/>
  <c r="O5" i="9"/>
  <c r="N5" i="9"/>
  <c r="M5" i="9"/>
  <c r="L5" i="9"/>
  <c r="K5" i="9"/>
  <c r="J5" i="9"/>
  <c r="B5" i="9"/>
  <c r="V4" i="9"/>
  <c r="T4" i="9"/>
  <c r="R4" i="9"/>
  <c r="O4" i="9"/>
  <c r="N4" i="9"/>
  <c r="M4" i="9"/>
  <c r="L4" i="9"/>
  <c r="K4" i="9"/>
  <c r="J4" i="9"/>
  <c r="B4" i="9"/>
  <c r="V3" i="9"/>
  <c r="T3" i="9"/>
  <c r="R3" i="9"/>
  <c r="O3" i="9"/>
  <c r="N3" i="9"/>
  <c r="M3" i="9"/>
  <c r="L3" i="9"/>
  <c r="K3" i="9"/>
  <c r="J3" i="9"/>
  <c r="B3" i="9"/>
  <c r="V2" i="9"/>
  <c r="T2" i="9"/>
  <c r="R2" i="9"/>
  <c r="O2" i="9"/>
  <c r="N2" i="9"/>
  <c r="M2" i="9"/>
  <c r="L2" i="9"/>
  <c r="K2" i="9"/>
  <c r="J2" i="9"/>
  <c r="B2" i="9"/>
  <c r="V170" i="8"/>
  <c r="V169" i="8"/>
  <c r="V168" i="8"/>
  <c r="V167" i="8"/>
  <c r="V166" i="8"/>
  <c r="V165" i="8"/>
  <c r="V164" i="8"/>
  <c r="V163" i="8"/>
  <c r="V162" i="8"/>
  <c r="V161" i="8"/>
  <c r="V160" i="8"/>
  <c r="V159" i="8"/>
  <c r="V158" i="8"/>
  <c r="V157" i="8"/>
  <c r="V156" i="8"/>
  <c r="V155" i="8"/>
  <c r="V154" i="8"/>
  <c r="V153" i="8"/>
  <c r="V152" i="8"/>
  <c r="V151" i="8"/>
  <c r="V150" i="8"/>
  <c r="V149" i="8"/>
  <c r="V148" i="8"/>
  <c r="V147" i="8"/>
  <c r="V146" i="8"/>
  <c r="V145" i="8"/>
  <c r="V144" i="8"/>
  <c r="V143" i="8"/>
  <c r="V142" i="8"/>
  <c r="V141" i="8"/>
  <c r="V140" i="8"/>
  <c r="V139" i="8"/>
  <c r="V138" i="8"/>
  <c r="V137" i="8"/>
  <c r="V136" i="8"/>
  <c r="V135" i="8"/>
  <c r="V134" i="8"/>
  <c r="V133" i="8"/>
  <c r="V132" i="8"/>
  <c r="V131" i="8"/>
  <c r="V130" i="8"/>
  <c r="V129" i="8"/>
  <c r="V128" i="8"/>
  <c r="V127" i="8"/>
  <c r="V126" i="8"/>
  <c r="V125" i="8"/>
  <c r="V124" i="8"/>
  <c r="V123" i="8"/>
  <c r="V122" i="8"/>
  <c r="V121" i="8"/>
  <c r="V120" i="8"/>
  <c r="V119" i="8"/>
  <c r="V118" i="8"/>
  <c r="V117" i="8"/>
  <c r="V116" i="8"/>
  <c r="V115" i="8"/>
  <c r="V114" i="8"/>
  <c r="V113" i="8"/>
  <c r="V112" i="8"/>
  <c r="V111" i="8"/>
  <c r="V110" i="8"/>
  <c r="V109" i="8"/>
  <c r="V108" i="8"/>
  <c r="V107" i="8"/>
  <c r="V106" i="8"/>
  <c r="V105" i="8"/>
  <c r="V104" i="8"/>
  <c r="V103" i="8"/>
  <c r="V102" i="8"/>
  <c r="V101" i="8"/>
  <c r="V100" i="8"/>
  <c r="V99" i="8"/>
  <c r="V98" i="8"/>
  <c r="V97" i="8"/>
  <c r="V96" i="8"/>
  <c r="V95" i="8"/>
  <c r="V94" i="8"/>
  <c r="V93" i="8"/>
  <c r="V92" i="8"/>
  <c r="V91" i="8"/>
  <c r="V90" i="8"/>
  <c r="V89" i="8"/>
  <c r="V88" i="8"/>
  <c r="V87" i="8"/>
  <c r="V86" i="8"/>
  <c r="V85" i="8"/>
  <c r="V84" i="8"/>
  <c r="V83" i="8"/>
  <c r="V82" i="8"/>
  <c r="V81" i="8"/>
  <c r="V80" i="8"/>
  <c r="V79" i="8"/>
  <c r="V78" i="8"/>
  <c r="V77" i="8"/>
  <c r="V76" i="8"/>
  <c r="V75" i="8"/>
  <c r="V74" i="8"/>
  <c r="V73" i="8"/>
  <c r="V72" i="8"/>
  <c r="V71" i="8"/>
  <c r="V70" i="8"/>
  <c r="V69" i="8"/>
  <c r="V68" i="8"/>
  <c r="V67" i="8"/>
  <c r="V66" i="8"/>
  <c r="V65" i="8"/>
  <c r="V64" i="8"/>
  <c r="V63" i="8"/>
  <c r="V62" i="8"/>
  <c r="V61" i="8"/>
  <c r="V60" i="8"/>
  <c r="V59" i="8"/>
  <c r="V58" i="8"/>
  <c r="V57" i="8"/>
  <c r="V56" i="8"/>
  <c r="V55" i="8"/>
  <c r="V54" i="8"/>
  <c r="V53" i="8"/>
  <c r="V52" i="8"/>
  <c r="V51" i="8"/>
  <c r="V50" i="8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V2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T2" i="8"/>
  <c r="R170" i="8"/>
  <c r="R169" i="8"/>
  <c r="R168" i="8"/>
  <c r="R167" i="8"/>
  <c r="R166" i="8"/>
  <c r="R165" i="8"/>
  <c r="R164" i="8"/>
  <c r="R163" i="8"/>
  <c r="R162" i="8"/>
  <c r="R161" i="8"/>
  <c r="R160" i="8"/>
  <c r="R159" i="8"/>
  <c r="R158" i="8"/>
  <c r="R157" i="8"/>
  <c r="R156" i="8"/>
  <c r="R155" i="8"/>
  <c r="R154" i="8"/>
  <c r="R153" i="8"/>
  <c r="R152" i="8"/>
  <c r="R151" i="8"/>
  <c r="R150" i="8"/>
  <c r="R149" i="8"/>
  <c r="R148" i="8"/>
  <c r="R147" i="8"/>
  <c r="R146" i="8"/>
  <c r="R145" i="8"/>
  <c r="R144" i="8"/>
  <c r="R143" i="8"/>
  <c r="R142" i="8"/>
  <c r="R141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128" i="8"/>
  <c r="R127" i="8"/>
  <c r="R126" i="8"/>
  <c r="R125" i="8"/>
  <c r="R124" i="8"/>
  <c r="R123" i="8"/>
  <c r="R122" i="8"/>
  <c r="R121" i="8"/>
  <c r="R120" i="8"/>
  <c r="R119" i="8"/>
  <c r="R118" i="8"/>
  <c r="R117" i="8"/>
  <c r="R116" i="8"/>
  <c r="R115" i="8"/>
  <c r="R114" i="8"/>
  <c r="R113" i="8"/>
  <c r="R112" i="8"/>
  <c r="R111" i="8"/>
  <c r="R110" i="8"/>
  <c r="R109" i="8"/>
  <c r="R108" i="8"/>
  <c r="R107" i="8"/>
  <c r="R106" i="8"/>
  <c r="R105" i="8"/>
  <c r="R104" i="8"/>
  <c r="R103" i="8"/>
  <c r="R102" i="8"/>
  <c r="R101" i="8"/>
  <c r="R100" i="8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R86" i="8"/>
  <c r="R85" i="8"/>
  <c r="R84" i="8"/>
  <c r="R83" i="8"/>
  <c r="R82" i="8"/>
  <c r="R81" i="8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R2" i="8"/>
  <c r="O170" i="8"/>
  <c r="N170" i="8"/>
  <c r="M170" i="8"/>
  <c r="L170" i="8"/>
  <c r="K170" i="8"/>
  <c r="J170" i="8"/>
  <c r="B170" i="8" s="1"/>
  <c r="O169" i="8"/>
  <c r="N169" i="8"/>
  <c r="M169" i="8"/>
  <c r="L169" i="8"/>
  <c r="K169" i="8"/>
  <c r="J169" i="8"/>
  <c r="B169" i="8" s="1"/>
  <c r="O168" i="8"/>
  <c r="N168" i="8"/>
  <c r="M168" i="8"/>
  <c r="L168" i="8"/>
  <c r="K168" i="8"/>
  <c r="J168" i="8"/>
  <c r="B168" i="8" s="1"/>
  <c r="O167" i="8"/>
  <c r="N167" i="8"/>
  <c r="M167" i="8"/>
  <c r="L167" i="8"/>
  <c r="K167" i="8"/>
  <c r="J167" i="8"/>
  <c r="B167" i="8" s="1"/>
  <c r="O166" i="8"/>
  <c r="N166" i="8"/>
  <c r="M166" i="8"/>
  <c r="L166" i="8"/>
  <c r="K166" i="8"/>
  <c r="J166" i="8"/>
  <c r="B166" i="8" s="1"/>
  <c r="O165" i="8"/>
  <c r="N165" i="8"/>
  <c r="M165" i="8"/>
  <c r="L165" i="8"/>
  <c r="K165" i="8"/>
  <c r="J165" i="8"/>
  <c r="B165" i="8" s="1"/>
  <c r="O164" i="8"/>
  <c r="N164" i="8"/>
  <c r="M164" i="8"/>
  <c r="L164" i="8"/>
  <c r="K164" i="8"/>
  <c r="J164" i="8"/>
  <c r="B164" i="8" s="1"/>
  <c r="O163" i="8"/>
  <c r="N163" i="8"/>
  <c r="M163" i="8"/>
  <c r="L163" i="8"/>
  <c r="K163" i="8"/>
  <c r="J163" i="8"/>
  <c r="B163" i="8" s="1"/>
  <c r="O162" i="8"/>
  <c r="N162" i="8"/>
  <c r="M162" i="8"/>
  <c r="L162" i="8"/>
  <c r="K162" i="8"/>
  <c r="J162" i="8"/>
  <c r="B162" i="8" s="1"/>
  <c r="O161" i="8"/>
  <c r="N161" i="8"/>
  <c r="M161" i="8"/>
  <c r="L161" i="8"/>
  <c r="K161" i="8"/>
  <c r="J161" i="8"/>
  <c r="B161" i="8" s="1"/>
  <c r="O160" i="8"/>
  <c r="N160" i="8"/>
  <c r="M160" i="8"/>
  <c r="L160" i="8"/>
  <c r="K160" i="8"/>
  <c r="J160" i="8"/>
  <c r="B160" i="8" s="1"/>
  <c r="O159" i="8"/>
  <c r="N159" i="8"/>
  <c r="M159" i="8"/>
  <c r="L159" i="8"/>
  <c r="K159" i="8"/>
  <c r="J159" i="8"/>
  <c r="B159" i="8" s="1"/>
  <c r="O158" i="8"/>
  <c r="N158" i="8"/>
  <c r="M158" i="8"/>
  <c r="L158" i="8"/>
  <c r="K158" i="8"/>
  <c r="J158" i="8"/>
  <c r="B158" i="8" s="1"/>
  <c r="O157" i="8"/>
  <c r="N157" i="8"/>
  <c r="M157" i="8"/>
  <c r="L157" i="8"/>
  <c r="K157" i="8"/>
  <c r="J157" i="8"/>
  <c r="B157" i="8" s="1"/>
  <c r="O156" i="8"/>
  <c r="N156" i="8"/>
  <c r="M156" i="8"/>
  <c r="L156" i="8"/>
  <c r="K156" i="8"/>
  <c r="J156" i="8"/>
  <c r="B156" i="8" s="1"/>
  <c r="O155" i="8"/>
  <c r="N155" i="8"/>
  <c r="M155" i="8"/>
  <c r="L155" i="8"/>
  <c r="K155" i="8"/>
  <c r="J155" i="8"/>
  <c r="B155" i="8" s="1"/>
  <c r="O154" i="8"/>
  <c r="N154" i="8"/>
  <c r="M154" i="8"/>
  <c r="L154" i="8"/>
  <c r="K154" i="8"/>
  <c r="J154" i="8"/>
  <c r="B154" i="8" s="1"/>
  <c r="O153" i="8"/>
  <c r="N153" i="8"/>
  <c r="M153" i="8"/>
  <c r="L153" i="8"/>
  <c r="K153" i="8"/>
  <c r="J153" i="8"/>
  <c r="B153" i="8" s="1"/>
  <c r="O152" i="8"/>
  <c r="N152" i="8"/>
  <c r="M152" i="8"/>
  <c r="L152" i="8"/>
  <c r="K152" i="8"/>
  <c r="J152" i="8"/>
  <c r="B152" i="8" s="1"/>
  <c r="O151" i="8"/>
  <c r="N151" i="8"/>
  <c r="M151" i="8"/>
  <c r="L151" i="8"/>
  <c r="K151" i="8"/>
  <c r="J151" i="8"/>
  <c r="B151" i="8" s="1"/>
  <c r="O150" i="8"/>
  <c r="N150" i="8"/>
  <c r="M150" i="8"/>
  <c r="L150" i="8"/>
  <c r="K150" i="8"/>
  <c r="J150" i="8"/>
  <c r="B150" i="8" s="1"/>
  <c r="O149" i="8"/>
  <c r="N149" i="8"/>
  <c r="M149" i="8"/>
  <c r="L149" i="8"/>
  <c r="K149" i="8"/>
  <c r="J149" i="8"/>
  <c r="B149" i="8" s="1"/>
  <c r="O148" i="8"/>
  <c r="N148" i="8"/>
  <c r="M148" i="8"/>
  <c r="L148" i="8"/>
  <c r="K148" i="8"/>
  <c r="J148" i="8"/>
  <c r="B148" i="8" s="1"/>
  <c r="O147" i="8"/>
  <c r="N147" i="8"/>
  <c r="M147" i="8"/>
  <c r="L147" i="8"/>
  <c r="K147" i="8"/>
  <c r="J147" i="8"/>
  <c r="B147" i="8" s="1"/>
  <c r="O146" i="8"/>
  <c r="N146" i="8"/>
  <c r="M146" i="8"/>
  <c r="L146" i="8"/>
  <c r="K146" i="8"/>
  <c r="J146" i="8"/>
  <c r="B146" i="8" s="1"/>
  <c r="O145" i="8"/>
  <c r="N145" i="8"/>
  <c r="M145" i="8"/>
  <c r="L145" i="8"/>
  <c r="K145" i="8"/>
  <c r="J145" i="8"/>
  <c r="B145" i="8" s="1"/>
  <c r="O144" i="8"/>
  <c r="N144" i="8"/>
  <c r="M144" i="8"/>
  <c r="L144" i="8"/>
  <c r="K144" i="8"/>
  <c r="J144" i="8"/>
  <c r="B144" i="8" s="1"/>
  <c r="O143" i="8"/>
  <c r="N143" i="8"/>
  <c r="M143" i="8"/>
  <c r="L143" i="8"/>
  <c r="K143" i="8"/>
  <c r="J143" i="8"/>
  <c r="B143" i="8" s="1"/>
  <c r="O142" i="8"/>
  <c r="N142" i="8"/>
  <c r="M142" i="8"/>
  <c r="L142" i="8"/>
  <c r="K142" i="8"/>
  <c r="J142" i="8"/>
  <c r="B142" i="8" s="1"/>
  <c r="O141" i="8"/>
  <c r="N141" i="8"/>
  <c r="M141" i="8"/>
  <c r="L141" i="8"/>
  <c r="K141" i="8"/>
  <c r="J141" i="8"/>
  <c r="B141" i="8" s="1"/>
  <c r="O140" i="8"/>
  <c r="N140" i="8"/>
  <c r="M140" i="8"/>
  <c r="L140" i="8"/>
  <c r="K140" i="8"/>
  <c r="J140" i="8"/>
  <c r="B140" i="8" s="1"/>
  <c r="O139" i="8"/>
  <c r="N139" i="8"/>
  <c r="M139" i="8"/>
  <c r="L139" i="8"/>
  <c r="K139" i="8"/>
  <c r="J139" i="8"/>
  <c r="B139" i="8" s="1"/>
  <c r="O138" i="8"/>
  <c r="N138" i="8"/>
  <c r="M138" i="8"/>
  <c r="L138" i="8"/>
  <c r="K138" i="8"/>
  <c r="J138" i="8"/>
  <c r="B138" i="8" s="1"/>
  <c r="O137" i="8"/>
  <c r="N137" i="8"/>
  <c r="M137" i="8"/>
  <c r="L137" i="8"/>
  <c r="K137" i="8"/>
  <c r="J137" i="8"/>
  <c r="B137" i="8" s="1"/>
  <c r="O136" i="8"/>
  <c r="N136" i="8"/>
  <c r="M136" i="8"/>
  <c r="L136" i="8"/>
  <c r="K136" i="8"/>
  <c r="J136" i="8"/>
  <c r="B136" i="8" s="1"/>
  <c r="O135" i="8"/>
  <c r="N135" i="8"/>
  <c r="M135" i="8"/>
  <c r="L135" i="8"/>
  <c r="K135" i="8"/>
  <c r="J135" i="8"/>
  <c r="B135" i="8" s="1"/>
  <c r="O134" i="8"/>
  <c r="N134" i="8"/>
  <c r="M134" i="8"/>
  <c r="L134" i="8"/>
  <c r="K134" i="8"/>
  <c r="J134" i="8"/>
  <c r="B134" i="8" s="1"/>
  <c r="O133" i="8"/>
  <c r="N133" i="8"/>
  <c r="M133" i="8"/>
  <c r="L133" i="8"/>
  <c r="K133" i="8"/>
  <c r="J133" i="8"/>
  <c r="B133" i="8" s="1"/>
  <c r="O132" i="8"/>
  <c r="N132" i="8"/>
  <c r="M132" i="8"/>
  <c r="L132" i="8"/>
  <c r="K132" i="8"/>
  <c r="J132" i="8"/>
  <c r="B132" i="8" s="1"/>
  <c r="O131" i="8"/>
  <c r="N131" i="8"/>
  <c r="M131" i="8"/>
  <c r="L131" i="8"/>
  <c r="K131" i="8"/>
  <c r="J131" i="8"/>
  <c r="B131" i="8" s="1"/>
  <c r="O130" i="8"/>
  <c r="N130" i="8"/>
  <c r="M130" i="8"/>
  <c r="L130" i="8"/>
  <c r="K130" i="8"/>
  <c r="J130" i="8"/>
  <c r="B130" i="8" s="1"/>
  <c r="O129" i="8"/>
  <c r="N129" i="8"/>
  <c r="M129" i="8"/>
  <c r="L129" i="8"/>
  <c r="K129" i="8"/>
  <c r="J129" i="8"/>
  <c r="B129" i="8" s="1"/>
  <c r="O128" i="8"/>
  <c r="N128" i="8"/>
  <c r="M128" i="8"/>
  <c r="L128" i="8"/>
  <c r="K128" i="8"/>
  <c r="J128" i="8"/>
  <c r="B128" i="8" s="1"/>
  <c r="O127" i="8"/>
  <c r="N127" i="8"/>
  <c r="M127" i="8"/>
  <c r="L127" i="8"/>
  <c r="K127" i="8"/>
  <c r="J127" i="8"/>
  <c r="B127" i="8" s="1"/>
  <c r="O126" i="8"/>
  <c r="N126" i="8"/>
  <c r="M126" i="8"/>
  <c r="L126" i="8"/>
  <c r="K126" i="8"/>
  <c r="J126" i="8"/>
  <c r="B126" i="8" s="1"/>
  <c r="O125" i="8"/>
  <c r="N125" i="8"/>
  <c r="M125" i="8"/>
  <c r="L125" i="8"/>
  <c r="K125" i="8"/>
  <c r="J125" i="8"/>
  <c r="B125" i="8" s="1"/>
  <c r="O124" i="8"/>
  <c r="N124" i="8"/>
  <c r="M124" i="8"/>
  <c r="L124" i="8"/>
  <c r="K124" i="8"/>
  <c r="J124" i="8"/>
  <c r="B124" i="8" s="1"/>
  <c r="O123" i="8"/>
  <c r="N123" i="8"/>
  <c r="M123" i="8"/>
  <c r="L123" i="8"/>
  <c r="K123" i="8"/>
  <c r="J123" i="8"/>
  <c r="B123" i="8" s="1"/>
  <c r="O122" i="8"/>
  <c r="N122" i="8"/>
  <c r="M122" i="8"/>
  <c r="L122" i="8"/>
  <c r="K122" i="8"/>
  <c r="J122" i="8"/>
  <c r="B122" i="8" s="1"/>
  <c r="O121" i="8"/>
  <c r="N121" i="8"/>
  <c r="M121" i="8"/>
  <c r="L121" i="8"/>
  <c r="K121" i="8"/>
  <c r="J121" i="8"/>
  <c r="B121" i="8" s="1"/>
  <c r="O120" i="8"/>
  <c r="N120" i="8"/>
  <c r="M120" i="8"/>
  <c r="L120" i="8"/>
  <c r="K120" i="8"/>
  <c r="J120" i="8"/>
  <c r="B120" i="8" s="1"/>
  <c r="O119" i="8"/>
  <c r="N119" i="8"/>
  <c r="M119" i="8"/>
  <c r="L119" i="8"/>
  <c r="K119" i="8"/>
  <c r="J119" i="8"/>
  <c r="B119" i="8" s="1"/>
  <c r="O118" i="8"/>
  <c r="N118" i="8"/>
  <c r="M118" i="8"/>
  <c r="L118" i="8"/>
  <c r="K118" i="8"/>
  <c r="J118" i="8"/>
  <c r="B118" i="8" s="1"/>
  <c r="O117" i="8"/>
  <c r="N117" i="8"/>
  <c r="M117" i="8"/>
  <c r="L117" i="8"/>
  <c r="K117" i="8"/>
  <c r="J117" i="8"/>
  <c r="B117" i="8" s="1"/>
  <c r="O116" i="8"/>
  <c r="N116" i="8"/>
  <c r="M116" i="8"/>
  <c r="L116" i="8"/>
  <c r="K116" i="8"/>
  <c r="J116" i="8"/>
  <c r="B116" i="8" s="1"/>
  <c r="O115" i="8"/>
  <c r="N115" i="8"/>
  <c r="M115" i="8"/>
  <c r="L115" i="8"/>
  <c r="K115" i="8"/>
  <c r="J115" i="8"/>
  <c r="B115" i="8" s="1"/>
  <c r="O114" i="8"/>
  <c r="N114" i="8"/>
  <c r="M114" i="8"/>
  <c r="L114" i="8"/>
  <c r="K114" i="8"/>
  <c r="J114" i="8"/>
  <c r="B114" i="8" s="1"/>
  <c r="O113" i="8"/>
  <c r="N113" i="8"/>
  <c r="M113" i="8"/>
  <c r="L113" i="8"/>
  <c r="K113" i="8"/>
  <c r="J113" i="8"/>
  <c r="B113" i="8" s="1"/>
  <c r="O112" i="8"/>
  <c r="N112" i="8"/>
  <c r="M112" i="8"/>
  <c r="L112" i="8"/>
  <c r="K112" i="8"/>
  <c r="J112" i="8"/>
  <c r="B112" i="8" s="1"/>
  <c r="O111" i="8"/>
  <c r="N111" i="8"/>
  <c r="M111" i="8"/>
  <c r="L111" i="8"/>
  <c r="K111" i="8"/>
  <c r="J111" i="8"/>
  <c r="B111" i="8" s="1"/>
  <c r="O110" i="8"/>
  <c r="N110" i="8"/>
  <c r="M110" i="8"/>
  <c r="L110" i="8"/>
  <c r="K110" i="8"/>
  <c r="J110" i="8"/>
  <c r="B110" i="8" s="1"/>
  <c r="O109" i="8"/>
  <c r="N109" i="8"/>
  <c r="M109" i="8"/>
  <c r="L109" i="8"/>
  <c r="K109" i="8"/>
  <c r="J109" i="8"/>
  <c r="B109" i="8" s="1"/>
  <c r="O108" i="8"/>
  <c r="N108" i="8"/>
  <c r="M108" i="8"/>
  <c r="L108" i="8"/>
  <c r="K108" i="8"/>
  <c r="J108" i="8"/>
  <c r="B108" i="8" s="1"/>
  <c r="O107" i="8"/>
  <c r="N107" i="8"/>
  <c r="M107" i="8"/>
  <c r="L107" i="8"/>
  <c r="K107" i="8"/>
  <c r="J107" i="8"/>
  <c r="B107" i="8" s="1"/>
  <c r="O106" i="8"/>
  <c r="N106" i="8"/>
  <c r="M106" i="8"/>
  <c r="L106" i="8"/>
  <c r="K106" i="8"/>
  <c r="J106" i="8"/>
  <c r="B106" i="8" s="1"/>
  <c r="O105" i="8"/>
  <c r="N105" i="8"/>
  <c r="M105" i="8"/>
  <c r="L105" i="8"/>
  <c r="K105" i="8"/>
  <c r="J105" i="8"/>
  <c r="B105" i="8" s="1"/>
  <c r="O104" i="8"/>
  <c r="N104" i="8"/>
  <c r="M104" i="8"/>
  <c r="L104" i="8"/>
  <c r="K104" i="8"/>
  <c r="J104" i="8"/>
  <c r="B104" i="8" s="1"/>
  <c r="O103" i="8"/>
  <c r="N103" i="8"/>
  <c r="M103" i="8"/>
  <c r="L103" i="8"/>
  <c r="K103" i="8"/>
  <c r="J103" i="8"/>
  <c r="B103" i="8" s="1"/>
  <c r="O102" i="8"/>
  <c r="N102" i="8"/>
  <c r="M102" i="8"/>
  <c r="L102" i="8"/>
  <c r="K102" i="8"/>
  <c r="J102" i="8"/>
  <c r="B102" i="8" s="1"/>
  <c r="O101" i="8"/>
  <c r="N101" i="8"/>
  <c r="M101" i="8"/>
  <c r="L101" i="8"/>
  <c r="K101" i="8"/>
  <c r="J101" i="8"/>
  <c r="B101" i="8" s="1"/>
  <c r="O100" i="8"/>
  <c r="N100" i="8"/>
  <c r="M100" i="8"/>
  <c r="L100" i="8"/>
  <c r="K100" i="8"/>
  <c r="J100" i="8"/>
  <c r="B100" i="8" s="1"/>
  <c r="O99" i="8"/>
  <c r="N99" i="8"/>
  <c r="M99" i="8"/>
  <c r="L99" i="8"/>
  <c r="K99" i="8"/>
  <c r="J99" i="8"/>
  <c r="B99" i="8" s="1"/>
  <c r="O98" i="8"/>
  <c r="N98" i="8"/>
  <c r="M98" i="8"/>
  <c r="L98" i="8"/>
  <c r="K98" i="8"/>
  <c r="J98" i="8"/>
  <c r="B98" i="8" s="1"/>
  <c r="O97" i="8"/>
  <c r="N97" i="8"/>
  <c r="M97" i="8"/>
  <c r="L97" i="8"/>
  <c r="K97" i="8"/>
  <c r="J97" i="8"/>
  <c r="B97" i="8" s="1"/>
  <c r="O96" i="8"/>
  <c r="N96" i="8"/>
  <c r="M96" i="8"/>
  <c r="L96" i="8"/>
  <c r="K96" i="8"/>
  <c r="J96" i="8"/>
  <c r="B96" i="8" s="1"/>
  <c r="O95" i="8"/>
  <c r="N95" i="8"/>
  <c r="M95" i="8"/>
  <c r="L95" i="8"/>
  <c r="K95" i="8"/>
  <c r="J95" i="8"/>
  <c r="B95" i="8" s="1"/>
  <c r="O94" i="8"/>
  <c r="N94" i="8"/>
  <c r="M94" i="8"/>
  <c r="L94" i="8"/>
  <c r="K94" i="8"/>
  <c r="J94" i="8"/>
  <c r="B94" i="8" s="1"/>
  <c r="O93" i="8"/>
  <c r="N93" i="8"/>
  <c r="M93" i="8"/>
  <c r="L93" i="8"/>
  <c r="K93" i="8"/>
  <c r="J93" i="8"/>
  <c r="B93" i="8" s="1"/>
  <c r="O92" i="8"/>
  <c r="N92" i="8"/>
  <c r="M92" i="8"/>
  <c r="L92" i="8"/>
  <c r="K92" i="8"/>
  <c r="J92" i="8"/>
  <c r="B92" i="8" s="1"/>
  <c r="O91" i="8"/>
  <c r="N91" i="8"/>
  <c r="M91" i="8"/>
  <c r="L91" i="8"/>
  <c r="K91" i="8"/>
  <c r="J91" i="8"/>
  <c r="B91" i="8" s="1"/>
  <c r="O90" i="8"/>
  <c r="N90" i="8"/>
  <c r="M90" i="8"/>
  <c r="L90" i="8"/>
  <c r="K90" i="8"/>
  <c r="J90" i="8"/>
  <c r="B90" i="8" s="1"/>
  <c r="O89" i="8"/>
  <c r="N89" i="8"/>
  <c r="M89" i="8"/>
  <c r="L89" i="8"/>
  <c r="K89" i="8"/>
  <c r="J89" i="8"/>
  <c r="B89" i="8" s="1"/>
  <c r="O88" i="8"/>
  <c r="N88" i="8"/>
  <c r="M88" i="8"/>
  <c r="L88" i="8"/>
  <c r="K88" i="8"/>
  <c r="J88" i="8"/>
  <c r="B88" i="8" s="1"/>
  <c r="O87" i="8"/>
  <c r="N87" i="8"/>
  <c r="M87" i="8"/>
  <c r="L87" i="8"/>
  <c r="K87" i="8"/>
  <c r="J87" i="8"/>
  <c r="B87" i="8" s="1"/>
  <c r="O86" i="8"/>
  <c r="N86" i="8"/>
  <c r="M86" i="8"/>
  <c r="L86" i="8"/>
  <c r="K86" i="8"/>
  <c r="J86" i="8"/>
  <c r="B86" i="8" s="1"/>
  <c r="O85" i="8"/>
  <c r="N85" i="8"/>
  <c r="M85" i="8"/>
  <c r="L85" i="8"/>
  <c r="K85" i="8"/>
  <c r="J85" i="8"/>
  <c r="B85" i="8" s="1"/>
  <c r="O84" i="8"/>
  <c r="N84" i="8"/>
  <c r="M84" i="8"/>
  <c r="L84" i="8"/>
  <c r="K84" i="8"/>
  <c r="J84" i="8"/>
  <c r="B84" i="8" s="1"/>
  <c r="O83" i="8"/>
  <c r="N83" i="8"/>
  <c r="M83" i="8"/>
  <c r="L83" i="8"/>
  <c r="K83" i="8"/>
  <c r="J83" i="8"/>
  <c r="B83" i="8" s="1"/>
  <c r="O82" i="8"/>
  <c r="N82" i="8"/>
  <c r="M82" i="8"/>
  <c r="L82" i="8"/>
  <c r="K82" i="8"/>
  <c r="J82" i="8"/>
  <c r="B82" i="8" s="1"/>
  <c r="O81" i="8"/>
  <c r="N81" i="8"/>
  <c r="M81" i="8"/>
  <c r="L81" i="8"/>
  <c r="K81" i="8"/>
  <c r="J81" i="8"/>
  <c r="B81" i="8" s="1"/>
  <c r="O80" i="8"/>
  <c r="N80" i="8"/>
  <c r="M80" i="8"/>
  <c r="L80" i="8"/>
  <c r="K80" i="8"/>
  <c r="J80" i="8"/>
  <c r="B80" i="8" s="1"/>
  <c r="O79" i="8"/>
  <c r="N79" i="8"/>
  <c r="M79" i="8"/>
  <c r="L79" i="8"/>
  <c r="K79" i="8"/>
  <c r="J79" i="8"/>
  <c r="B79" i="8" s="1"/>
  <c r="O78" i="8"/>
  <c r="N78" i="8"/>
  <c r="M78" i="8"/>
  <c r="L78" i="8"/>
  <c r="K78" i="8"/>
  <c r="J78" i="8"/>
  <c r="B78" i="8" s="1"/>
  <c r="O77" i="8"/>
  <c r="N77" i="8"/>
  <c r="M77" i="8"/>
  <c r="L77" i="8"/>
  <c r="K77" i="8"/>
  <c r="J77" i="8"/>
  <c r="B77" i="8" s="1"/>
  <c r="O76" i="8"/>
  <c r="N76" i="8"/>
  <c r="M76" i="8"/>
  <c r="L76" i="8"/>
  <c r="K76" i="8"/>
  <c r="J76" i="8"/>
  <c r="B76" i="8" s="1"/>
  <c r="O75" i="8"/>
  <c r="N75" i="8"/>
  <c r="M75" i="8"/>
  <c r="L75" i="8"/>
  <c r="K75" i="8"/>
  <c r="J75" i="8"/>
  <c r="B75" i="8" s="1"/>
  <c r="O74" i="8"/>
  <c r="N74" i="8"/>
  <c r="M74" i="8"/>
  <c r="L74" i="8"/>
  <c r="K74" i="8"/>
  <c r="J74" i="8"/>
  <c r="B74" i="8" s="1"/>
  <c r="O73" i="8"/>
  <c r="N73" i="8"/>
  <c r="M73" i="8"/>
  <c r="L73" i="8"/>
  <c r="K73" i="8"/>
  <c r="J73" i="8"/>
  <c r="B73" i="8" s="1"/>
  <c r="O72" i="8"/>
  <c r="N72" i="8"/>
  <c r="M72" i="8"/>
  <c r="L72" i="8"/>
  <c r="K72" i="8"/>
  <c r="J72" i="8"/>
  <c r="B72" i="8" s="1"/>
  <c r="O71" i="8"/>
  <c r="N71" i="8"/>
  <c r="M71" i="8"/>
  <c r="L71" i="8"/>
  <c r="K71" i="8"/>
  <c r="J71" i="8"/>
  <c r="B71" i="8" s="1"/>
  <c r="O70" i="8"/>
  <c r="N70" i="8"/>
  <c r="M70" i="8"/>
  <c r="L70" i="8"/>
  <c r="K70" i="8"/>
  <c r="J70" i="8"/>
  <c r="B70" i="8" s="1"/>
  <c r="O69" i="8"/>
  <c r="N69" i="8"/>
  <c r="M69" i="8"/>
  <c r="L69" i="8"/>
  <c r="K69" i="8"/>
  <c r="J69" i="8"/>
  <c r="B69" i="8" s="1"/>
  <c r="O68" i="8"/>
  <c r="N68" i="8"/>
  <c r="M68" i="8"/>
  <c r="L68" i="8"/>
  <c r="K68" i="8"/>
  <c r="J68" i="8"/>
  <c r="B68" i="8" s="1"/>
  <c r="O67" i="8"/>
  <c r="N67" i="8"/>
  <c r="M67" i="8"/>
  <c r="L67" i="8"/>
  <c r="K67" i="8"/>
  <c r="J67" i="8"/>
  <c r="B67" i="8" s="1"/>
  <c r="O66" i="8"/>
  <c r="N66" i="8"/>
  <c r="M66" i="8"/>
  <c r="L66" i="8"/>
  <c r="K66" i="8"/>
  <c r="J66" i="8"/>
  <c r="B66" i="8" s="1"/>
  <c r="O65" i="8"/>
  <c r="N65" i="8"/>
  <c r="M65" i="8"/>
  <c r="L65" i="8"/>
  <c r="K65" i="8"/>
  <c r="J65" i="8"/>
  <c r="B65" i="8" s="1"/>
  <c r="O64" i="8"/>
  <c r="N64" i="8"/>
  <c r="M64" i="8"/>
  <c r="L64" i="8"/>
  <c r="K64" i="8"/>
  <c r="J64" i="8"/>
  <c r="B64" i="8" s="1"/>
  <c r="O63" i="8"/>
  <c r="N63" i="8"/>
  <c r="M63" i="8"/>
  <c r="L63" i="8"/>
  <c r="K63" i="8"/>
  <c r="J63" i="8"/>
  <c r="B63" i="8" s="1"/>
  <c r="O62" i="8"/>
  <c r="N62" i="8"/>
  <c r="M62" i="8"/>
  <c r="L62" i="8"/>
  <c r="K62" i="8"/>
  <c r="J62" i="8"/>
  <c r="B62" i="8" s="1"/>
  <c r="O61" i="8"/>
  <c r="N61" i="8"/>
  <c r="M61" i="8"/>
  <c r="L61" i="8"/>
  <c r="K61" i="8"/>
  <c r="J61" i="8"/>
  <c r="B61" i="8" s="1"/>
  <c r="O60" i="8"/>
  <c r="N60" i="8"/>
  <c r="M60" i="8"/>
  <c r="L60" i="8"/>
  <c r="K60" i="8"/>
  <c r="J60" i="8"/>
  <c r="B60" i="8" s="1"/>
  <c r="O59" i="8"/>
  <c r="N59" i="8"/>
  <c r="M59" i="8"/>
  <c r="L59" i="8"/>
  <c r="K59" i="8"/>
  <c r="J59" i="8"/>
  <c r="B59" i="8" s="1"/>
  <c r="O58" i="8"/>
  <c r="N58" i="8"/>
  <c r="M58" i="8"/>
  <c r="L58" i="8"/>
  <c r="K58" i="8"/>
  <c r="J58" i="8"/>
  <c r="B58" i="8" s="1"/>
  <c r="O57" i="8"/>
  <c r="N57" i="8"/>
  <c r="M57" i="8"/>
  <c r="L57" i="8"/>
  <c r="K57" i="8"/>
  <c r="J57" i="8"/>
  <c r="B57" i="8" s="1"/>
  <c r="O56" i="8"/>
  <c r="N56" i="8"/>
  <c r="M56" i="8"/>
  <c r="L56" i="8"/>
  <c r="K56" i="8"/>
  <c r="J56" i="8"/>
  <c r="B56" i="8" s="1"/>
  <c r="O55" i="8"/>
  <c r="N55" i="8"/>
  <c r="M55" i="8"/>
  <c r="L55" i="8"/>
  <c r="K55" i="8"/>
  <c r="J55" i="8"/>
  <c r="B55" i="8" s="1"/>
  <c r="O54" i="8"/>
  <c r="N54" i="8"/>
  <c r="M54" i="8"/>
  <c r="L54" i="8"/>
  <c r="K54" i="8"/>
  <c r="J54" i="8"/>
  <c r="B54" i="8" s="1"/>
  <c r="O53" i="8"/>
  <c r="N53" i="8"/>
  <c r="M53" i="8"/>
  <c r="L53" i="8"/>
  <c r="K53" i="8"/>
  <c r="J53" i="8"/>
  <c r="B53" i="8" s="1"/>
  <c r="O52" i="8"/>
  <c r="N52" i="8"/>
  <c r="M52" i="8"/>
  <c r="L52" i="8"/>
  <c r="K52" i="8"/>
  <c r="J52" i="8"/>
  <c r="B52" i="8" s="1"/>
  <c r="O51" i="8"/>
  <c r="N51" i="8"/>
  <c r="M51" i="8"/>
  <c r="L51" i="8"/>
  <c r="K51" i="8"/>
  <c r="J51" i="8"/>
  <c r="B51" i="8" s="1"/>
  <c r="O50" i="8"/>
  <c r="N50" i="8"/>
  <c r="M50" i="8"/>
  <c r="L50" i="8"/>
  <c r="K50" i="8"/>
  <c r="J50" i="8"/>
  <c r="B50" i="8" s="1"/>
  <c r="O49" i="8"/>
  <c r="N49" i="8"/>
  <c r="M49" i="8"/>
  <c r="L49" i="8"/>
  <c r="K49" i="8"/>
  <c r="J49" i="8"/>
  <c r="B49" i="8" s="1"/>
  <c r="O48" i="8"/>
  <c r="N48" i="8"/>
  <c r="M48" i="8"/>
  <c r="L48" i="8"/>
  <c r="K48" i="8"/>
  <c r="J48" i="8"/>
  <c r="B48" i="8" s="1"/>
  <c r="O47" i="8"/>
  <c r="N47" i="8"/>
  <c r="M47" i="8"/>
  <c r="L47" i="8"/>
  <c r="K47" i="8"/>
  <c r="J47" i="8"/>
  <c r="B47" i="8" s="1"/>
  <c r="O46" i="8"/>
  <c r="N46" i="8"/>
  <c r="M46" i="8"/>
  <c r="L46" i="8"/>
  <c r="K46" i="8"/>
  <c r="J46" i="8"/>
  <c r="B46" i="8" s="1"/>
  <c r="O45" i="8"/>
  <c r="N45" i="8"/>
  <c r="M45" i="8"/>
  <c r="L45" i="8"/>
  <c r="K45" i="8"/>
  <c r="J45" i="8"/>
  <c r="B45" i="8" s="1"/>
  <c r="O44" i="8"/>
  <c r="N44" i="8"/>
  <c r="M44" i="8"/>
  <c r="L44" i="8"/>
  <c r="K44" i="8"/>
  <c r="J44" i="8"/>
  <c r="B44" i="8" s="1"/>
  <c r="O43" i="8"/>
  <c r="N43" i="8"/>
  <c r="M43" i="8"/>
  <c r="L43" i="8"/>
  <c r="K43" i="8"/>
  <c r="J43" i="8"/>
  <c r="B43" i="8" s="1"/>
  <c r="O42" i="8"/>
  <c r="N42" i="8"/>
  <c r="M42" i="8"/>
  <c r="L42" i="8"/>
  <c r="K42" i="8"/>
  <c r="J42" i="8"/>
  <c r="B42" i="8" s="1"/>
  <c r="O41" i="8"/>
  <c r="N41" i="8"/>
  <c r="M41" i="8"/>
  <c r="L41" i="8"/>
  <c r="K41" i="8"/>
  <c r="J41" i="8"/>
  <c r="B41" i="8" s="1"/>
  <c r="O40" i="8"/>
  <c r="N40" i="8"/>
  <c r="M40" i="8"/>
  <c r="L40" i="8"/>
  <c r="K40" i="8"/>
  <c r="J40" i="8"/>
  <c r="B40" i="8" s="1"/>
  <c r="O39" i="8"/>
  <c r="N39" i="8"/>
  <c r="M39" i="8"/>
  <c r="L39" i="8"/>
  <c r="K39" i="8"/>
  <c r="J39" i="8"/>
  <c r="B39" i="8" s="1"/>
  <c r="O38" i="8"/>
  <c r="N38" i="8"/>
  <c r="M38" i="8"/>
  <c r="L38" i="8"/>
  <c r="K38" i="8"/>
  <c r="J38" i="8"/>
  <c r="B38" i="8" s="1"/>
  <c r="O37" i="8"/>
  <c r="N37" i="8"/>
  <c r="M37" i="8"/>
  <c r="L37" i="8"/>
  <c r="K37" i="8"/>
  <c r="J37" i="8"/>
  <c r="B37" i="8" s="1"/>
  <c r="O36" i="8"/>
  <c r="N36" i="8"/>
  <c r="M36" i="8"/>
  <c r="L36" i="8"/>
  <c r="K36" i="8"/>
  <c r="J36" i="8"/>
  <c r="B36" i="8" s="1"/>
  <c r="O35" i="8"/>
  <c r="N35" i="8"/>
  <c r="M35" i="8"/>
  <c r="L35" i="8"/>
  <c r="K35" i="8"/>
  <c r="J35" i="8"/>
  <c r="B35" i="8" s="1"/>
  <c r="O34" i="8"/>
  <c r="N34" i="8"/>
  <c r="M34" i="8"/>
  <c r="L34" i="8"/>
  <c r="K34" i="8"/>
  <c r="J34" i="8"/>
  <c r="B34" i="8" s="1"/>
  <c r="O33" i="8"/>
  <c r="N33" i="8"/>
  <c r="M33" i="8"/>
  <c r="L33" i="8"/>
  <c r="K33" i="8"/>
  <c r="J33" i="8"/>
  <c r="B33" i="8" s="1"/>
  <c r="O32" i="8"/>
  <c r="N32" i="8"/>
  <c r="M32" i="8"/>
  <c r="L32" i="8"/>
  <c r="K32" i="8"/>
  <c r="J32" i="8"/>
  <c r="B32" i="8" s="1"/>
  <c r="O31" i="8"/>
  <c r="N31" i="8"/>
  <c r="M31" i="8"/>
  <c r="L31" i="8"/>
  <c r="K31" i="8"/>
  <c r="J31" i="8"/>
  <c r="B31" i="8" s="1"/>
  <c r="O30" i="8"/>
  <c r="N30" i="8"/>
  <c r="M30" i="8"/>
  <c r="L30" i="8"/>
  <c r="K30" i="8"/>
  <c r="J30" i="8"/>
  <c r="B30" i="8" s="1"/>
  <c r="O29" i="8"/>
  <c r="N29" i="8"/>
  <c r="M29" i="8"/>
  <c r="L29" i="8"/>
  <c r="K29" i="8"/>
  <c r="J29" i="8"/>
  <c r="B29" i="8" s="1"/>
  <c r="O28" i="8"/>
  <c r="N28" i="8"/>
  <c r="M28" i="8"/>
  <c r="L28" i="8"/>
  <c r="K28" i="8"/>
  <c r="J28" i="8"/>
  <c r="B28" i="8" s="1"/>
  <c r="O27" i="8"/>
  <c r="N27" i="8"/>
  <c r="M27" i="8"/>
  <c r="L27" i="8"/>
  <c r="K27" i="8"/>
  <c r="J27" i="8"/>
  <c r="B27" i="8" s="1"/>
  <c r="O26" i="8"/>
  <c r="N26" i="8"/>
  <c r="M26" i="8"/>
  <c r="L26" i="8"/>
  <c r="K26" i="8"/>
  <c r="J26" i="8"/>
  <c r="B26" i="8" s="1"/>
  <c r="O25" i="8"/>
  <c r="N25" i="8"/>
  <c r="M25" i="8"/>
  <c r="L25" i="8"/>
  <c r="K25" i="8"/>
  <c r="J25" i="8"/>
  <c r="B25" i="8" s="1"/>
  <c r="O24" i="8"/>
  <c r="N24" i="8"/>
  <c r="M24" i="8"/>
  <c r="L24" i="8"/>
  <c r="K24" i="8"/>
  <c r="J24" i="8"/>
  <c r="B24" i="8" s="1"/>
  <c r="O23" i="8"/>
  <c r="N23" i="8"/>
  <c r="M23" i="8"/>
  <c r="L23" i="8"/>
  <c r="K23" i="8"/>
  <c r="J23" i="8"/>
  <c r="B23" i="8" s="1"/>
  <c r="O22" i="8"/>
  <c r="N22" i="8"/>
  <c r="M22" i="8"/>
  <c r="L22" i="8"/>
  <c r="K22" i="8"/>
  <c r="J22" i="8"/>
  <c r="B22" i="8" s="1"/>
  <c r="O21" i="8"/>
  <c r="N21" i="8"/>
  <c r="M21" i="8"/>
  <c r="L21" i="8"/>
  <c r="K21" i="8"/>
  <c r="J21" i="8"/>
  <c r="B21" i="8" s="1"/>
  <c r="O20" i="8"/>
  <c r="N20" i="8"/>
  <c r="M20" i="8"/>
  <c r="L20" i="8"/>
  <c r="K20" i="8"/>
  <c r="J20" i="8"/>
  <c r="B20" i="8" s="1"/>
  <c r="O19" i="8"/>
  <c r="N19" i="8"/>
  <c r="M19" i="8"/>
  <c r="L19" i="8"/>
  <c r="K19" i="8"/>
  <c r="J19" i="8"/>
  <c r="B19" i="8" s="1"/>
  <c r="O18" i="8"/>
  <c r="N18" i="8"/>
  <c r="M18" i="8"/>
  <c r="L18" i="8"/>
  <c r="K18" i="8"/>
  <c r="J18" i="8"/>
  <c r="B18" i="8" s="1"/>
  <c r="O17" i="8"/>
  <c r="N17" i="8"/>
  <c r="M17" i="8"/>
  <c r="L17" i="8"/>
  <c r="K17" i="8"/>
  <c r="J17" i="8"/>
  <c r="B17" i="8" s="1"/>
  <c r="O16" i="8"/>
  <c r="N16" i="8"/>
  <c r="M16" i="8"/>
  <c r="L16" i="8"/>
  <c r="K16" i="8"/>
  <c r="J16" i="8"/>
  <c r="B16" i="8" s="1"/>
  <c r="O15" i="8"/>
  <c r="N15" i="8"/>
  <c r="M15" i="8"/>
  <c r="L15" i="8"/>
  <c r="K15" i="8"/>
  <c r="J15" i="8"/>
  <c r="B15" i="8" s="1"/>
  <c r="O14" i="8"/>
  <c r="N14" i="8"/>
  <c r="M14" i="8"/>
  <c r="L14" i="8"/>
  <c r="K14" i="8"/>
  <c r="J14" i="8"/>
  <c r="B14" i="8" s="1"/>
  <c r="O13" i="8"/>
  <c r="N13" i="8"/>
  <c r="M13" i="8"/>
  <c r="L13" i="8"/>
  <c r="K13" i="8"/>
  <c r="J13" i="8"/>
  <c r="B13" i="8" s="1"/>
  <c r="O12" i="8"/>
  <c r="N12" i="8"/>
  <c r="M12" i="8"/>
  <c r="L12" i="8"/>
  <c r="K12" i="8"/>
  <c r="J12" i="8"/>
  <c r="B12" i="8" s="1"/>
  <c r="O11" i="8"/>
  <c r="N11" i="8"/>
  <c r="M11" i="8"/>
  <c r="L11" i="8"/>
  <c r="K11" i="8"/>
  <c r="J11" i="8"/>
  <c r="B11" i="8" s="1"/>
  <c r="O10" i="8"/>
  <c r="N10" i="8"/>
  <c r="M10" i="8"/>
  <c r="L10" i="8"/>
  <c r="K10" i="8"/>
  <c r="J10" i="8"/>
  <c r="B10" i="8" s="1"/>
  <c r="O9" i="8"/>
  <c r="N9" i="8"/>
  <c r="M9" i="8"/>
  <c r="L9" i="8"/>
  <c r="K9" i="8"/>
  <c r="J9" i="8"/>
  <c r="B9" i="8" s="1"/>
  <c r="O8" i="8"/>
  <c r="N8" i="8"/>
  <c r="M8" i="8"/>
  <c r="L8" i="8"/>
  <c r="K8" i="8"/>
  <c r="J8" i="8"/>
  <c r="B8" i="8" s="1"/>
  <c r="O7" i="8"/>
  <c r="N7" i="8"/>
  <c r="M7" i="8"/>
  <c r="L7" i="8"/>
  <c r="K7" i="8"/>
  <c r="J7" i="8"/>
  <c r="B7" i="8" s="1"/>
  <c r="O6" i="8"/>
  <c r="N6" i="8"/>
  <c r="M6" i="8"/>
  <c r="L6" i="8"/>
  <c r="K6" i="8"/>
  <c r="J6" i="8"/>
  <c r="B6" i="8" s="1"/>
  <c r="O5" i="8"/>
  <c r="N5" i="8"/>
  <c r="M5" i="8"/>
  <c r="L5" i="8"/>
  <c r="K5" i="8"/>
  <c r="J5" i="8"/>
  <c r="B5" i="8" s="1"/>
  <c r="O4" i="8"/>
  <c r="N4" i="8"/>
  <c r="M4" i="8"/>
  <c r="L4" i="8"/>
  <c r="K4" i="8"/>
  <c r="J4" i="8"/>
  <c r="B4" i="8" s="1"/>
  <c r="O3" i="8"/>
  <c r="N3" i="8"/>
  <c r="M3" i="8"/>
  <c r="L3" i="8"/>
  <c r="K3" i="8"/>
  <c r="J3" i="8"/>
  <c r="B3" i="8" s="1"/>
  <c r="O2" i="8"/>
  <c r="N2" i="8"/>
  <c r="M2" i="8"/>
  <c r="L2" i="8"/>
  <c r="K2" i="8"/>
  <c r="J2" i="8"/>
  <c r="B2" i="8" s="1"/>
  <c r="J7" i="6"/>
  <c r="J6" i="6"/>
  <c r="J5" i="6"/>
  <c r="J4" i="6"/>
  <c r="J3" i="6"/>
  <c r="N131" i="5"/>
  <c r="P117" i="6"/>
  <c r="P115" i="6"/>
  <c r="P113" i="6"/>
  <c r="P112" i="6"/>
  <c r="P108" i="6"/>
  <c r="P106" i="6"/>
  <c r="P105" i="6"/>
  <c r="P104" i="6"/>
  <c r="P103" i="6"/>
  <c r="P102" i="6"/>
  <c r="T96" i="11" l="1"/>
  <c r="R93" i="11"/>
  <c r="Q93" i="11"/>
  <c r="P93" i="11"/>
  <c r="N93" i="11"/>
  <c r="C108" i="11" s="1"/>
  <c r="M93" i="11"/>
  <c r="C107" i="11" s="1"/>
  <c r="L93" i="11"/>
  <c r="C106" i="11" s="1"/>
  <c r="K93" i="11"/>
  <c r="J93" i="11"/>
  <c r="C104" i="11" s="1"/>
  <c r="I93" i="11"/>
  <c r="C100" i="11" s="1"/>
  <c r="H93" i="11"/>
  <c r="C102" i="11" s="1"/>
  <c r="G93" i="11"/>
  <c r="O93" i="11"/>
  <c r="C103" i="11" s="1"/>
  <c r="C105" i="11"/>
  <c r="C101" i="11"/>
  <c r="C109" i="11" s="1"/>
  <c r="S9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tc={D10FF5DA-3358-4D7F-8EE9-379E2CAFC24E}</author>
  </authors>
  <commentList>
    <comment ref="B5" authorId="0" shapeId="0" xr:uid="{D10FF5DA-3358-4D7F-8EE9-379E2CAFC2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@John Mickey   Lets talk through these questions and the tab "2025 Client List" while on our trip. 
</t>
      </text>
    </comment>
  </commentList>
</comments>
</file>

<file path=xl/sharedStrings.xml><?xml version="1.0" encoding="utf-8"?>
<sst xmlns="http://schemas.openxmlformats.org/spreadsheetml/2006/main" count="5755" uniqueCount="1178">
  <si>
    <t>Firm Name</t>
  </si>
  <si>
    <t>Retail Revenue</t>
  </si>
  <si>
    <t>Rest. Revenue</t>
  </si>
  <si>
    <t>Multifamily Revenue</t>
  </si>
  <si>
    <t>Industrial Revenue</t>
  </si>
  <si>
    <t>Data Center Revenue</t>
  </si>
  <si>
    <t>Hospitality Revenue</t>
  </si>
  <si>
    <t>Total Relevant Revenue</t>
  </si>
  <si>
    <t>LI Employees</t>
  </si>
  <si>
    <t>Data Source</t>
  </si>
  <si>
    <t>C1 Name</t>
  </si>
  <si>
    <t>C1 Title</t>
  </si>
  <si>
    <t>C1 Email</t>
  </si>
  <si>
    <t>C1 Phone</t>
  </si>
  <si>
    <t>C1 Office Address</t>
  </si>
  <si>
    <t>C2 Name</t>
  </si>
  <si>
    <t>C2 Title</t>
  </si>
  <si>
    <t>C2 Email</t>
  </si>
  <si>
    <t>C2 Phone</t>
  </si>
  <si>
    <t>C2 Office Address</t>
  </si>
  <si>
    <t>C3 Name</t>
  </si>
  <si>
    <t>C3 Title</t>
  </si>
  <si>
    <t>C3 Email</t>
  </si>
  <si>
    <t>C3 Phone</t>
  </si>
  <si>
    <t>C3 Office Address</t>
  </si>
  <si>
    <t>C4 Name</t>
  </si>
  <si>
    <t>C4 Title</t>
  </si>
  <si>
    <t>C4 Email</t>
  </si>
  <si>
    <t>C4 Phone</t>
  </si>
  <si>
    <t>C4 Office Address</t>
  </si>
  <si>
    <t>C5 Name</t>
  </si>
  <si>
    <t>C5 Title</t>
  </si>
  <si>
    <t>C5 Email</t>
  </si>
  <si>
    <t>C5 Phone</t>
  </si>
  <si>
    <t>C5 Office Address</t>
  </si>
  <si>
    <t>NORR</t>
  </si>
  <si>
    <t>BDC 2023</t>
  </si>
  <si>
    <t>Jonathan Hughes</t>
  </si>
  <si>
    <t>Chief Operating Officer</t>
  </si>
  <si>
    <t>jonathan.hughes@norr.com</t>
  </si>
  <si>
    <t>416 944 7837</t>
  </si>
  <si>
    <t>175 Bloor Street East, Toronto, Ontario, M4W 3R8, CA</t>
  </si>
  <si>
    <t>Ricardo Avila</t>
  </si>
  <si>
    <t>Senior Principal, Retail</t>
  </si>
  <si>
    <t>Anthony Ricciuti</t>
  </si>
  <si>
    <t>Executive Vice President, Retail</t>
  </si>
  <si>
    <t>Andrea Davis</t>
  </si>
  <si>
    <t>Principal, Retail</t>
  </si>
  <si>
    <t xml:space="preserve">How can </t>
  </si>
  <si>
    <t>Vice President, Operations, US</t>
  </si>
  <si>
    <t>GPD Group</t>
  </si>
  <si>
    <t>Jeff Evans</t>
  </si>
  <si>
    <t>Senior Vice President, Operations</t>
  </si>
  <si>
    <t>Becky McAdams</t>
  </si>
  <si>
    <t>Vice President, Operations</t>
  </si>
  <si>
    <t>Trever Powers</t>
  </si>
  <si>
    <t>Jake Bendik</t>
  </si>
  <si>
    <t>Director, Retail/Commercial</t>
  </si>
  <si>
    <t>Steve Turner</t>
  </si>
  <si>
    <t>National Leader, Strategy and Growth, Multi Site Programs</t>
  </si>
  <si>
    <t>HFA</t>
  </si>
  <si>
    <t>ICSC CB</t>
  </si>
  <si>
    <t>Ryan Ray</t>
  </si>
  <si>
    <t>Aksel Solberg</t>
  </si>
  <si>
    <t>Design Development Studio Lead</t>
  </si>
  <si>
    <t>James Owens</t>
  </si>
  <si>
    <t>Vice President</t>
  </si>
  <si>
    <t>Bo Ebbrecht</t>
  </si>
  <si>
    <t>Marc Jennings</t>
  </si>
  <si>
    <t>H2M Architects + Engineers</t>
  </si>
  <si>
    <t>Joseph Mottola</t>
  </si>
  <si>
    <t>Ray Givargis</t>
  </si>
  <si>
    <t>Studio Director</t>
  </si>
  <si>
    <t>Phil Schade</t>
  </si>
  <si>
    <t>Senior Vice President, Market Director, Energy</t>
  </si>
  <si>
    <t>WATG</t>
  </si>
  <si>
    <t>HED</t>
  </si>
  <si>
    <t>Michael Cooper</t>
  </si>
  <si>
    <t>President</t>
  </si>
  <si>
    <t>Anna McDougall</t>
  </si>
  <si>
    <t>Principal, Operations Practice Leader</t>
  </si>
  <si>
    <t>Jerome (Otis) Odell</t>
  </si>
  <si>
    <t>Principal, Business Leader, Housing and Mixed Use</t>
  </si>
  <si>
    <t>KTGY</t>
  </si>
  <si>
    <t>David Senden</t>
  </si>
  <si>
    <t>Principal</t>
  </si>
  <si>
    <t>Keith Labus</t>
  </si>
  <si>
    <t>Adam Hale</t>
  </si>
  <si>
    <t>Director, Production</t>
  </si>
  <si>
    <t>Bindiya Agarwal</t>
  </si>
  <si>
    <t>Brandon Wernli</t>
  </si>
  <si>
    <t>Executive Director, Production</t>
  </si>
  <si>
    <t>Cushing Terrell</t>
  </si>
  <si>
    <t>Martin Byrnes</t>
  </si>
  <si>
    <t>Nicole Dovel-Moore</t>
  </si>
  <si>
    <t>Associate Principal</t>
  </si>
  <si>
    <t>Joshua Hersel</t>
  </si>
  <si>
    <t>Director, Multi-Family Design</t>
  </si>
  <si>
    <t>Brad Sperry</t>
  </si>
  <si>
    <t>Principal, Design Director</t>
  </si>
  <si>
    <t>Rob Arthur</t>
  </si>
  <si>
    <t>Little</t>
  </si>
  <si>
    <t>Charles Todd</t>
  </si>
  <si>
    <t>Sarah Curtis</t>
  </si>
  <si>
    <t>Michael Magee</t>
  </si>
  <si>
    <t>Heather Nifong</t>
  </si>
  <si>
    <t>John Quinn</t>
  </si>
  <si>
    <t>MG2 - WHAT NOW THAT IT IS CED??</t>
  </si>
  <si>
    <t>BL Companies</t>
  </si>
  <si>
    <t>Derek Kohl</t>
  </si>
  <si>
    <t>VP of Operations</t>
  </si>
  <si>
    <t>Bill Fries</t>
  </si>
  <si>
    <t>Director, Project Development</t>
  </si>
  <si>
    <t>Barbara Joslin</t>
  </si>
  <si>
    <t>Amy Samuelson</t>
  </si>
  <si>
    <t>Executive Director of Architecture and Building Engineering</t>
  </si>
  <si>
    <t>Ian McPhillips</t>
  </si>
  <si>
    <t>Director, Energy</t>
  </si>
  <si>
    <t>LS3P Associates</t>
  </si>
  <si>
    <t>George Temple</t>
  </si>
  <si>
    <t>Neil Dawson</t>
  </si>
  <si>
    <t>Living Practice Leader</t>
  </si>
  <si>
    <t>Chris Owings</t>
  </si>
  <si>
    <t>Senior Practice Professional, Urban Environments</t>
  </si>
  <si>
    <t>David Burt</t>
  </si>
  <si>
    <t>Firmwide Hospitality Sector Leader / Vice President</t>
  </si>
  <si>
    <t>Roy Selvidge</t>
  </si>
  <si>
    <t>Firmwide Federal &amp; Industrial Sector Leader</t>
  </si>
  <si>
    <t>Larson Design Group</t>
  </si>
  <si>
    <t>David Schaarsmith</t>
  </si>
  <si>
    <t>Ronald Kretz</t>
  </si>
  <si>
    <t>Built Environment Operations Manager and Vice President</t>
  </si>
  <si>
    <t>Andrew Dorin</t>
  </si>
  <si>
    <t>Market Lead &amp; Vice President</t>
  </si>
  <si>
    <t>AO</t>
  </si>
  <si>
    <t>Rob Budetti</t>
  </si>
  <si>
    <t>Managing Partner</t>
  </si>
  <si>
    <t>Jeff Rabbitt</t>
  </si>
  <si>
    <t>Partner</t>
  </si>
  <si>
    <t>Richard Clark</t>
  </si>
  <si>
    <t>RC Alley</t>
  </si>
  <si>
    <t>Moody Nolan</t>
  </si>
  <si>
    <t>Allen Schaffer</t>
  </si>
  <si>
    <t>Partner, Chief Operating Office, Chief Sustainability Officer</t>
  </si>
  <si>
    <t>Todd Dove</t>
  </si>
  <si>
    <t>Partner, Retail Practice Leader</t>
  </si>
  <si>
    <t>Yanitza Brongers-Marrero</t>
  </si>
  <si>
    <t>Partner, Housing Practice Leader</t>
  </si>
  <si>
    <t>Jay Boone</t>
  </si>
  <si>
    <t>Partner, Director of General Architecture</t>
  </si>
  <si>
    <t>Julie Cook</t>
  </si>
  <si>
    <t>Partner, Director of Project Delivery</t>
  </si>
  <si>
    <t>Progressive Companies</t>
  </si>
  <si>
    <t>Wes Jones</t>
  </si>
  <si>
    <t>Managing Principal</t>
  </si>
  <si>
    <t>Ryan Doherty</t>
  </si>
  <si>
    <t>Principal, Mixed-use Practice Leader</t>
  </si>
  <si>
    <t>Doug Wurl</t>
  </si>
  <si>
    <t>Principal, Director of Program Delivery</t>
  </si>
  <si>
    <t>Bill Culhane</t>
  </si>
  <si>
    <t>Principal, Director of Project Delivery</t>
  </si>
  <si>
    <t>Rand Harder</t>
  </si>
  <si>
    <t>Senior Design Architect</t>
  </si>
  <si>
    <t>Hord Coplan Macht</t>
  </si>
  <si>
    <t>Joe Schneider</t>
  </si>
  <si>
    <t>John Harris</t>
  </si>
  <si>
    <t>Liz Peterson</t>
  </si>
  <si>
    <t>WDG</t>
  </si>
  <si>
    <t>Robyn Jacobson</t>
  </si>
  <si>
    <t>Siti Abdul-Rahman</t>
  </si>
  <si>
    <t>Will Duncan</t>
  </si>
  <si>
    <t>Doug James</t>
  </si>
  <si>
    <t>Eric Schlegel</t>
  </si>
  <si>
    <t>Cooper Carry</t>
  </si>
  <si>
    <t>Kyle Reis</t>
  </si>
  <si>
    <t>Principal, President and CEO</t>
  </si>
  <si>
    <t>John Ward</t>
  </si>
  <si>
    <t>Angelo Carusi</t>
  </si>
  <si>
    <t>Principal, Atlanta Office Managing Director</t>
  </si>
  <si>
    <t>Alex Lopatynsky</t>
  </si>
  <si>
    <t>Principal, New York Office Managing Director</t>
  </si>
  <si>
    <t>Kathy Logan</t>
  </si>
  <si>
    <t>Galloway &amp; Company, Inc</t>
  </si>
  <si>
    <t>Darren Bruns</t>
  </si>
  <si>
    <t>Kristoffer Kenton</t>
  </si>
  <si>
    <t>Director of Architecture, Principal</t>
  </si>
  <si>
    <t>Chris Carlson</t>
  </si>
  <si>
    <t>Regional Architectural Team Manager, Principal</t>
  </si>
  <si>
    <t>Gary Rhodes</t>
  </si>
  <si>
    <t>Blake Olson</t>
  </si>
  <si>
    <t>Architectural Project Manager, Principal</t>
  </si>
  <si>
    <t>Greenberg Farrow</t>
  </si>
  <si>
    <t>Rodeny E. Abney, Jr</t>
  </si>
  <si>
    <t>CFO, Senior Vice President</t>
  </si>
  <si>
    <t>Ali Yadegari</t>
  </si>
  <si>
    <t>Managing Director of Roll-Out Architecture</t>
  </si>
  <si>
    <t>Krista Karlson</t>
  </si>
  <si>
    <t>Managing Director of Charlotte</t>
  </si>
  <si>
    <t>Kelly Hosack</t>
  </si>
  <si>
    <t>Managing Director of Charleston</t>
  </si>
  <si>
    <t>Mike Haas</t>
  </si>
  <si>
    <t>Managing Director of Structural Engineering</t>
  </si>
  <si>
    <t>Cuningham</t>
  </si>
  <si>
    <t>Dan Olic</t>
  </si>
  <si>
    <t>Principal, Chief Operating Officer</t>
  </si>
  <si>
    <t>Charles Stoffel</t>
  </si>
  <si>
    <t>Principal, Director of Technical Design &amp; Delivery</t>
  </si>
  <si>
    <t>Gregory Houck</t>
  </si>
  <si>
    <t>Jeremy Agraz</t>
  </si>
  <si>
    <t>Associate Principal, Executive Director - Marketing + Strategy</t>
  </si>
  <si>
    <t>Jeffrey Mandyck</t>
  </si>
  <si>
    <t>Director of Strategy</t>
  </si>
  <si>
    <t>BSB Design</t>
  </si>
  <si>
    <t>Chris Jorgensen</t>
  </si>
  <si>
    <t>Vice President of Operations</t>
  </si>
  <si>
    <t>Deena A. Roumeliotis</t>
  </si>
  <si>
    <t>Associate, Director of Production</t>
  </si>
  <si>
    <t>Michael Tripodi</t>
  </si>
  <si>
    <t>Paul Penman</t>
  </si>
  <si>
    <t>Chris Blackburn</t>
  </si>
  <si>
    <t>Solomon Cordwell Buenz (SCB)</t>
  </si>
  <si>
    <t>Renee Sprogis-Marohn</t>
  </si>
  <si>
    <t>Mithun</t>
  </si>
  <si>
    <t>Dave Goldberg</t>
  </si>
  <si>
    <t>Jason Steiner</t>
  </si>
  <si>
    <t>Vocon</t>
  </si>
  <si>
    <t>Laura Rees</t>
  </si>
  <si>
    <t>Cuhaci Peterson</t>
  </si>
  <si>
    <t>Benchmark Group</t>
  </si>
  <si>
    <t>LRK</t>
  </si>
  <si>
    <t>Tony Pellicciotti</t>
  </si>
  <si>
    <t>RATIO Design</t>
  </si>
  <si>
    <t>Bill Browne</t>
  </si>
  <si>
    <t>Principal, CEO</t>
  </si>
  <si>
    <t>Chris Meier</t>
  </si>
  <si>
    <t>Principal / Dir. of Ops &amp; Indianaplois Studio Leader</t>
  </si>
  <si>
    <t>Hal Bowen</t>
  </si>
  <si>
    <t>Principal / Raleigh Studio Leader</t>
  </si>
  <si>
    <t>Clay Markham</t>
  </si>
  <si>
    <t>Eric Doner</t>
  </si>
  <si>
    <t>Dahlin Architecture | Planning | Interiors</t>
  </si>
  <si>
    <t>Emily A. Bonato</t>
  </si>
  <si>
    <t>Lauren Jessup-Mosu</t>
  </si>
  <si>
    <t>Managing Director - Regional</t>
  </si>
  <si>
    <t>Sean Whitacre</t>
  </si>
  <si>
    <t>Senior Principal / Senior Architect</t>
  </si>
  <si>
    <t>Lauri Moffet-Fehlberg</t>
  </si>
  <si>
    <t>Senior Vice President - Architecture</t>
  </si>
  <si>
    <t>Andrew "Jack" Gallagher</t>
  </si>
  <si>
    <t>Managing Principal - Austin Office</t>
  </si>
  <si>
    <t>Baskervill</t>
  </si>
  <si>
    <t>Bob Clark</t>
  </si>
  <si>
    <t>CEO</t>
  </si>
  <si>
    <t>Brad Richards</t>
  </si>
  <si>
    <t>Principal, Executive Vice President</t>
  </si>
  <si>
    <t>Jay Woodburn</t>
  </si>
  <si>
    <t>Terri Callaway</t>
  </si>
  <si>
    <t>Fred Hopkins</t>
  </si>
  <si>
    <t>Associate, Studio Director</t>
  </si>
  <si>
    <t>JCJ Architecture</t>
  </si>
  <si>
    <t>Scott Celella</t>
  </si>
  <si>
    <t>Robert Gdowski</t>
  </si>
  <si>
    <t>Principal, Director of Hospitality Design</t>
  </si>
  <si>
    <t>Paul Hamel</t>
  </si>
  <si>
    <t>Director of Project Management</t>
  </si>
  <si>
    <t>Jeanne Muscolino</t>
  </si>
  <si>
    <t>Principal, Hospitality Market Leader</t>
  </si>
  <si>
    <t>Doug Roberts</t>
  </si>
  <si>
    <t>Elkus Manfredi Architects</t>
  </si>
  <si>
    <t>LEO A DALY</t>
  </si>
  <si>
    <t>Barge Design Solutions</t>
  </si>
  <si>
    <t>Little Diversified Architectural Consulting</t>
  </si>
  <si>
    <t>Ayres Associates</t>
  </si>
  <si>
    <t>Moseley Architects</t>
  </si>
  <si>
    <t>McMillan Pazdan Smith</t>
  </si>
  <si>
    <t>BRR</t>
  </si>
  <si>
    <t>Diamond Schmitt Architects</t>
  </si>
  <si>
    <t>LHB</t>
  </si>
  <si>
    <t>TPG Architecture</t>
  </si>
  <si>
    <t>Quinn Evans</t>
  </si>
  <si>
    <t>BHDP Architecture</t>
  </si>
  <si>
    <t>Handel Architects</t>
  </si>
  <si>
    <t>Lord Aeck Sargent Planning &amp; Design</t>
  </si>
  <si>
    <t>Dwell Design Studio</t>
  </si>
  <si>
    <t>Tait &amp; Associates</t>
  </si>
  <si>
    <t>RDC-S111</t>
  </si>
  <si>
    <t>Cromwell Architects Engineers</t>
  </si>
  <si>
    <t>FSB Architects + Engineers</t>
  </si>
  <si>
    <t>Niles Bolton Associates</t>
  </si>
  <si>
    <t>Dattner Architects</t>
  </si>
  <si>
    <t>BAR Architects &amp; Interiors</t>
  </si>
  <si>
    <t>AHL</t>
  </si>
  <si>
    <t>Aria Group Architects</t>
  </si>
  <si>
    <t>Cyntergy AEC</t>
  </si>
  <si>
    <t>Orcutt | Winslow</t>
  </si>
  <si>
    <t>LK Architecture</t>
  </si>
  <si>
    <t>HBG Design</t>
  </si>
  <si>
    <t>Onyx Creative</t>
  </si>
  <si>
    <t>SWBR</t>
  </si>
  <si>
    <t>Chipman Design Architecture</t>
  </si>
  <si>
    <t>BDG Architects</t>
  </si>
  <si>
    <t>FitzGerald</t>
  </si>
  <si>
    <t>GGLO</t>
  </si>
  <si>
    <t>Bergmeyer</t>
  </si>
  <si>
    <t>Smallwood</t>
  </si>
  <si>
    <t>Fogarty Finger</t>
  </si>
  <si>
    <t>GFF</t>
  </si>
  <si>
    <t>DAG Architects</t>
  </si>
  <si>
    <t>FXCollaborative</t>
  </si>
  <si>
    <t>CetraRuddy Architecture</t>
  </si>
  <si>
    <t>Hill West Architects</t>
  </si>
  <si>
    <t>KSS Architects</t>
  </si>
  <si>
    <t>ArcVision Inc</t>
  </si>
  <si>
    <t>Rule Joy Trammell Rubio</t>
  </si>
  <si>
    <t>Goettsch Partners</t>
  </si>
  <si>
    <t>Carrier Johnson + Culture</t>
  </si>
  <si>
    <t>Oculus</t>
  </si>
  <si>
    <t>Thriven Design</t>
  </si>
  <si>
    <t>MJM Architects</t>
  </si>
  <si>
    <t>bKL Architecture</t>
  </si>
  <si>
    <t>NSPJ Architects</t>
  </si>
  <si>
    <t>Tricarico Architecture and Design</t>
  </si>
  <si>
    <t>Method Architecture</t>
  </si>
  <si>
    <t>JHP Architecture / Urban Design</t>
  </si>
  <si>
    <t>Weber Thompson</t>
  </si>
  <si>
    <t>CTA Architects</t>
  </si>
  <si>
    <t>//3877</t>
  </si>
  <si>
    <t>Randall-Paulson Architects</t>
  </si>
  <si>
    <t>Curtis + Ginsberg Architects</t>
  </si>
  <si>
    <t>FK Architecture</t>
  </si>
  <si>
    <t>Reztark Design Studio</t>
  </si>
  <si>
    <t>Macgregor Associates Architects</t>
  </si>
  <si>
    <t>GSB</t>
  </si>
  <si>
    <t>Bignell Watkins Hasser Architects</t>
  </si>
  <si>
    <t>Architectural Design Guild</t>
  </si>
  <si>
    <t>Nunzio Marc DeSantis Architects</t>
  </si>
  <si>
    <t>Kinetic Design Inc.</t>
  </si>
  <si>
    <t>The Martin Architectural Group</t>
  </si>
  <si>
    <t>CREATE Architecture Planning Design</t>
  </si>
  <si>
    <t>Bowling Schork Design Co.</t>
  </si>
  <si>
    <t>HDR</t>
  </si>
  <si>
    <t>Perkins&amp;Will</t>
  </si>
  <si>
    <t>HKS</t>
  </si>
  <si>
    <t>Skidmore, Owings &amp; Merrill</t>
  </si>
  <si>
    <t>Page Southerland Page</t>
  </si>
  <si>
    <t>Barton Malow</t>
  </si>
  <si>
    <t>DLR Group</t>
  </si>
  <si>
    <t>Ryan Companies US</t>
  </si>
  <si>
    <t>Gresham Smith</t>
  </si>
  <si>
    <t>Kohn Pedersen Fox</t>
  </si>
  <si>
    <t>Corgan</t>
  </si>
  <si>
    <t>Perkins Eastman</t>
  </si>
  <si>
    <t>Whitman, Requardt &amp; Associates</t>
  </si>
  <si>
    <t>Goodwyn Mills Cawood</t>
  </si>
  <si>
    <t>FIRM</t>
  </si>
  <si>
    <t>Notes</t>
  </si>
  <si>
    <t>plant</t>
  </si>
  <si>
    <t>water bottle</t>
  </si>
  <si>
    <t>Engaged = 1</t>
  </si>
  <si>
    <t xml:space="preserve">Andrea Davis </t>
  </si>
  <si>
    <t>Anthony Ricciuit</t>
  </si>
  <si>
    <t xml:space="preserve">Aksel </t>
  </si>
  <si>
    <t>Nicole Bell</t>
  </si>
  <si>
    <t>Jim Powers</t>
  </si>
  <si>
    <t>Raymond Givargis</t>
  </si>
  <si>
    <t>ADA Architects</t>
  </si>
  <si>
    <t>Brian Quinn</t>
  </si>
  <si>
    <t>James Kassay</t>
  </si>
  <si>
    <t>Lindsay Scott</t>
  </si>
  <si>
    <t>Richard Luis</t>
  </si>
  <si>
    <t>Monica Cuervo</t>
  </si>
  <si>
    <t>Joe Furwa</t>
  </si>
  <si>
    <t>HP Engineering</t>
  </si>
  <si>
    <t>Andrew Dorin (changed firms)</t>
  </si>
  <si>
    <t>Johnny Hembree</t>
  </si>
  <si>
    <t xml:space="preserve">not interested' </t>
  </si>
  <si>
    <t>Kathryn Prigmore</t>
  </si>
  <si>
    <t>Tim Linko</t>
  </si>
  <si>
    <t>Gary Hubler</t>
  </si>
  <si>
    <t>Daniel Sweeney</t>
  </si>
  <si>
    <t>T. Jack Bagby</t>
  </si>
  <si>
    <t>Manny Dominguez</t>
  </si>
  <si>
    <t>Dots Colley</t>
  </si>
  <si>
    <t>Catherine Gaboian (Caty)</t>
  </si>
  <si>
    <t>Jenny Romano</t>
  </si>
  <si>
    <t>Faith Hoople</t>
  </si>
  <si>
    <t>Gretchen Fisher</t>
  </si>
  <si>
    <t>Derron Sluser</t>
  </si>
  <si>
    <t>Silver Studio Architects (Amy's old firm)</t>
  </si>
  <si>
    <t>Ellen Garland</t>
  </si>
  <si>
    <t>NON TARGET</t>
  </si>
  <si>
    <t>Jason Adams</t>
  </si>
  <si>
    <t>Jason Dodson</t>
  </si>
  <si>
    <t>Eric Haley</t>
  </si>
  <si>
    <t>Alan Davis</t>
  </si>
  <si>
    <t>Sheena Mayfield</t>
  </si>
  <si>
    <t>Cyntergy</t>
  </si>
  <si>
    <t>Gordy Guest (CEO)</t>
  </si>
  <si>
    <t>Kent Bray</t>
  </si>
  <si>
    <t>Seth Hildebrant</t>
  </si>
  <si>
    <t>Stephen Burgin</t>
  </si>
  <si>
    <t>Michael Hicks</t>
  </si>
  <si>
    <t>Linda Waytula</t>
  </si>
  <si>
    <t>Cindy A. McCleary</t>
  </si>
  <si>
    <t>Ivan O.</t>
  </si>
  <si>
    <t>Ryan Rosché</t>
  </si>
  <si>
    <t>Jill Nordin Lyons, AIA, LEED AP</t>
  </si>
  <si>
    <t xml:space="preserve">Jordan's Priorities </t>
  </si>
  <si>
    <t>Get Pilot (follow up meetings)</t>
  </si>
  <si>
    <t>New Target Outreach (A/E [1 target client per week] + Design Tech)</t>
  </si>
  <si>
    <t>Conference Outreach</t>
  </si>
  <si>
    <t>Newsletter</t>
  </si>
  <si>
    <t xml:space="preserve">Linkedin </t>
  </si>
  <si>
    <t>CRM</t>
  </si>
  <si>
    <t>Jason Lau (?)</t>
  </si>
  <si>
    <t>Design Tech Marketing Strategy</t>
  </si>
  <si>
    <t>Don Alexander</t>
  </si>
  <si>
    <t>Richard Knapp</t>
  </si>
  <si>
    <t>Atwell</t>
  </si>
  <si>
    <t>Justin Crable</t>
  </si>
  <si>
    <t>Kurt Belek</t>
  </si>
  <si>
    <t>Tracey Dubuque</t>
  </si>
  <si>
    <t>Brian Searcy</t>
  </si>
  <si>
    <t>OTJ Architects</t>
  </si>
  <si>
    <t>Bohler</t>
  </si>
  <si>
    <t>Daniel Danvers</t>
  </si>
  <si>
    <t>Andrew Mortiarty</t>
  </si>
  <si>
    <t>Gensler</t>
  </si>
  <si>
    <t>Sargent &amp; Lundy</t>
  </si>
  <si>
    <t>Abigail Buchta</t>
  </si>
  <si>
    <t>Mike Sronse</t>
  </si>
  <si>
    <t>Al Wilson</t>
  </si>
  <si>
    <t>Nick Wiesmen</t>
  </si>
  <si>
    <t>Joe Peters</t>
  </si>
  <si>
    <t xml:space="preserve">Matt Thibedau </t>
  </si>
  <si>
    <t>Total Firms Engaged =</t>
  </si>
  <si>
    <t>Company</t>
  </si>
  <si>
    <t>Score</t>
  </si>
  <si>
    <t>Status</t>
  </si>
  <si>
    <t>CIV</t>
  </si>
  <si>
    <t>ARC</t>
  </si>
  <si>
    <t>STR</t>
  </si>
  <si>
    <t>MP</t>
  </si>
  <si>
    <t>ELE</t>
  </si>
  <si>
    <t>FP</t>
  </si>
  <si>
    <t>Column6</t>
  </si>
  <si>
    <t>Column5</t>
  </si>
  <si>
    <t>Column4</t>
  </si>
  <si>
    <t>Column3</t>
  </si>
  <si>
    <t>Column2</t>
  </si>
  <si>
    <t>Column1</t>
  </si>
  <si>
    <t>Mkt Fit (1-3)</t>
  </si>
  <si>
    <t>Size (S, M, L)</t>
  </si>
  <si>
    <t>Column7</t>
  </si>
  <si>
    <t>TZone</t>
  </si>
  <si>
    <t>Column8</t>
  </si>
  <si>
    <t>Low-cost office?</t>
  </si>
  <si>
    <t>Column9</t>
  </si>
  <si>
    <t>Using Competitor?</t>
  </si>
  <si>
    <t>Contact</t>
  </si>
  <si>
    <t>✓</t>
  </si>
  <si>
    <t>M</t>
  </si>
  <si>
    <t>EST</t>
  </si>
  <si>
    <t>No</t>
  </si>
  <si>
    <t>Connection</t>
  </si>
  <si>
    <t>CST</t>
  </si>
  <si>
    <t>Core States Group</t>
  </si>
  <si>
    <t>Client</t>
  </si>
  <si>
    <t>GreenbergFarrow</t>
  </si>
  <si>
    <t>Target</t>
  </si>
  <si>
    <t>⮽</t>
  </si>
  <si>
    <t>CESO</t>
  </si>
  <si>
    <t>S</t>
  </si>
  <si>
    <t>MST</t>
  </si>
  <si>
    <t>Colliers Engineering &amp; Design</t>
  </si>
  <si>
    <t>L</t>
  </si>
  <si>
    <t>Farnsworth Group</t>
  </si>
  <si>
    <t>RTM Engineering Consultants</t>
  </si>
  <si>
    <t>CPH, LLC</t>
  </si>
  <si>
    <t>Yes</t>
  </si>
  <si>
    <t>Harley Ellis Devereaux (HED)</t>
  </si>
  <si>
    <t>MG2</t>
  </si>
  <si>
    <t>BDP</t>
  </si>
  <si>
    <t>Architectural Design Guild (ADG)</t>
  </si>
  <si>
    <t>BRR (includes DSA Architecture)</t>
  </si>
  <si>
    <t>PST</t>
  </si>
  <si>
    <t>Trileaf Corporation</t>
  </si>
  <si>
    <t>KLH Engineers</t>
  </si>
  <si>
    <t>Martin Architectural Group</t>
  </si>
  <si>
    <t>Tricarico Architecture &amp; Design PC</t>
  </si>
  <si>
    <t>VISSI Architecture + Design</t>
  </si>
  <si>
    <t>CEI Civil Engineering Associates</t>
  </si>
  <si>
    <t>CSHQA</t>
  </si>
  <si>
    <t>Ensemble</t>
  </si>
  <si>
    <t>Competitor</t>
  </si>
  <si>
    <t>Kimley-Horn</t>
  </si>
  <si>
    <t>RaSmith</t>
  </si>
  <si>
    <t>VAA</t>
  </si>
  <si>
    <t>Woolpert Inc.</t>
  </si>
  <si>
    <t>Heights Venture Architecture + Design</t>
  </si>
  <si>
    <t>Henderson Engineers, Inc</t>
  </si>
  <si>
    <t>MCG Architecture</t>
  </si>
  <si>
    <t>Nudell Architects</t>
  </si>
  <si>
    <t>NWS Architects Inc.</t>
  </si>
  <si>
    <t>Rogue Architects, LLC</t>
  </si>
  <si>
    <t>SGA Design Group</t>
  </si>
  <si>
    <t>The McIntosh Group</t>
  </si>
  <si>
    <t>Arcadis (includes CallisonRTKL)</t>
  </si>
  <si>
    <t>Bowen</t>
  </si>
  <si>
    <t>CD Companies</t>
  </si>
  <si>
    <t>Dynamic EC (includes Dynamic Engineering and Dynamic Earth)</t>
  </si>
  <si>
    <t>PM Design Group</t>
  </si>
  <si>
    <t>Arrowstreet</t>
  </si>
  <si>
    <t>bct design group</t>
  </si>
  <si>
    <t>Dyer Brown Architects</t>
  </si>
  <si>
    <t>E &amp; S Construction Engineers, Inc</t>
  </si>
  <si>
    <t>JP2 Architects</t>
  </si>
  <si>
    <t>zebra Projects</t>
  </si>
  <si>
    <t>Langan</t>
  </si>
  <si>
    <t>Manhard Consulting Ltd.</t>
  </si>
  <si>
    <t>Quiddity Engineering</t>
  </si>
  <si>
    <t>Wallace Design Collective</t>
  </si>
  <si>
    <t>Cannon Design</t>
  </si>
  <si>
    <t>Ethos Workshop Architects</t>
  </si>
  <si>
    <t>Hobbs+Black Architects</t>
  </si>
  <si>
    <t>JHP Architecture</t>
  </si>
  <si>
    <t>Meacham &amp; Apel Architects Inc.</t>
  </si>
  <si>
    <t>Neumann/Smith Architecture</t>
  </si>
  <si>
    <t>RDC</t>
  </si>
  <si>
    <t>RDL Architects</t>
  </si>
  <si>
    <t>RSP Architects</t>
  </si>
  <si>
    <t>Schnackel Engineers</t>
  </si>
  <si>
    <t>The Beck Group</t>
  </si>
  <si>
    <t>Wright Engineers</t>
  </si>
  <si>
    <t>ZELUS</t>
  </si>
  <si>
    <t>Chinkapin Consulting (Now SC&amp;A)</t>
  </si>
  <si>
    <t>Fenagh Engineering and Testing</t>
  </si>
  <si>
    <t>JSD Professional Services</t>
  </si>
  <si>
    <t>Olsson</t>
  </si>
  <si>
    <t>Ware Malcomb</t>
  </si>
  <si>
    <t>Wooster &amp; Associates</t>
  </si>
  <si>
    <t>Abbot Studios</t>
  </si>
  <si>
    <t>Bliss Fasman Inc</t>
  </si>
  <si>
    <t>BRDG</t>
  </si>
  <si>
    <t>Dialectic, Inc</t>
  </si>
  <si>
    <t>Greenlight 360</t>
  </si>
  <si>
    <t>JPRA Architects</t>
  </si>
  <si>
    <t>Norberto Rosenstein Architect, Inc</t>
  </si>
  <si>
    <t>SBLM Architects</t>
  </si>
  <si>
    <t>The Lighting Practice Inc.</t>
  </si>
  <si>
    <t>ECS</t>
  </si>
  <si>
    <t>Kier &amp; Wright Civil Engineers &amp; Surveyors, Inc.</t>
  </si>
  <si>
    <t>Mannik &amp; Smith Group</t>
  </si>
  <si>
    <t>Stantec</t>
  </si>
  <si>
    <t>Architecture Design Collaborative</t>
  </si>
  <si>
    <t>Charles Vincent George Architects</t>
  </si>
  <si>
    <t>Collabor8 Architecture + Design Inc</t>
  </si>
  <si>
    <t>ELS Architecture and Urban Development</t>
  </si>
  <si>
    <t>Field Paoli Architects</t>
  </si>
  <si>
    <t>Jackson Main Architecture</t>
  </si>
  <si>
    <t>Mahan Rykiel Associates</t>
  </si>
  <si>
    <t>MBH Architects</t>
  </si>
  <si>
    <t>Nadel Architects</t>
  </si>
  <si>
    <t>O'Brien Architects</t>
  </si>
  <si>
    <t>Omniplan Architects</t>
  </si>
  <si>
    <t>RIOS</t>
  </si>
  <si>
    <t>SGPA Architecture and Planning</t>
  </si>
  <si>
    <t>Columbia Engineering and Services Inc</t>
  </si>
  <si>
    <t>LOCHSA</t>
  </si>
  <si>
    <t>Pape-Dawson Engineers Inc</t>
  </si>
  <si>
    <t>Benoy</t>
  </si>
  <si>
    <t>Camber &amp; True Collective</t>
  </si>
  <si>
    <t>Hoss &amp; Brown Engineers</t>
  </si>
  <si>
    <t>Perkins &amp; Will</t>
  </si>
  <si>
    <t>The Structural Alliance</t>
  </si>
  <si>
    <t>Conceptual Design and Planning Company</t>
  </si>
  <si>
    <t>Core Structure, Inc</t>
  </si>
  <si>
    <t>DOWL</t>
  </si>
  <si>
    <t>JMW Site Design</t>
  </si>
  <si>
    <t>Magnusson Klemencic Associates</t>
  </si>
  <si>
    <t>Shield Engineering Group</t>
  </si>
  <si>
    <t>UES</t>
  </si>
  <si>
    <t>VHB</t>
  </si>
  <si>
    <t>Bench Dog Architects</t>
  </si>
  <si>
    <t>Coast2Coast Survey Corporation</t>
  </si>
  <si>
    <t>Code Consultants Inc</t>
  </si>
  <si>
    <t>Hazelwood Engineering</t>
  </si>
  <si>
    <t>Huie Design</t>
  </si>
  <si>
    <t>JK Design Group</t>
  </si>
  <si>
    <t>John Simones Architect</t>
  </si>
  <si>
    <t>LDA Design Group</t>
  </si>
  <si>
    <t>MPW Engineering</t>
  </si>
  <si>
    <t>Navona Placemaking</t>
  </si>
  <si>
    <t>Retail Amp Design</t>
  </si>
  <si>
    <t>RSM Design</t>
  </si>
  <si>
    <t>SMS Architects</t>
  </si>
  <si>
    <t>Tiscareno Associates</t>
  </si>
  <si>
    <t>Woodblock Architecture</t>
  </si>
  <si>
    <t>Terracon</t>
  </si>
  <si>
    <t>INTERTEK-PSI</t>
  </si>
  <si>
    <t>Schaefer</t>
  </si>
  <si>
    <t>Studio Outside</t>
  </si>
  <si>
    <t>X-identity</t>
  </si>
  <si>
    <t>Albert A. Webb Associates</t>
  </si>
  <si>
    <t>Field Services Unlimited</t>
  </si>
  <si>
    <t>IA - Interior Architects</t>
  </si>
  <si>
    <t>120degreez</t>
  </si>
  <si>
    <t>NELSON Worldwide</t>
  </si>
  <si>
    <t>Civil &amp; Environmental Consultants</t>
  </si>
  <si>
    <t>Attended in 2024</t>
  </si>
  <si>
    <t>CASCO</t>
  </si>
  <si>
    <t>The Dimension Group</t>
  </si>
  <si>
    <t>Sargenti Architects</t>
  </si>
  <si>
    <t>CESO, Inc.</t>
  </si>
  <si>
    <t>Galloway &amp; Company, Inc.</t>
  </si>
  <si>
    <t>Farnsworth Group Inc.</t>
  </si>
  <si>
    <t>Mackenzie</t>
  </si>
  <si>
    <t>Ci Design, Inc.</t>
  </si>
  <si>
    <t>MV+A Architects</t>
  </si>
  <si>
    <t>Niles Bolton</t>
  </si>
  <si>
    <t>ArcVision Inc.</t>
  </si>
  <si>
    <t>BRR Architecture</t>
  </si>
  <si>
    <t>Dwell Design Studio, LLC</t>
  </si>
  <si>
    <t>ADA Architects, Inc.</t>
  </si>
  <si>
    <t>Nelson-Rudie</t>
  </si>
  <si>
    <t>CEI Engineering Associates Inc.</t>
  </si>
  <si>
    <t>DLR GROUP</t>
  </si>
  <si>
    <t>Cline Design Associates PA</t>
  </si>
  <si>
    <t>Dal Pos Architects LLC</t>
  </si>
  <si>
    <t>Dorsky+Yue Architecture</t>
  </si>
  <si>
    <t>EL Robinson Engineering</t>
  </si>
  <si>
    <t>GEM Studio Architecture Inc.</t>
  </si>
  <si>
    <t>Gnich Architecture Studio</t>
  </si>
  <si>
    <t>JKRP Architects</t>
  </si>
  <si>
    <t>LUSK Architecture</t>
  </si>
  <si>
    <t>MA Design</t>
  </si>
  <si>
    <t>MGDK Architects</t>
  </si>
  <si>
    <t>SA Group LLC</t>
  </si>
  <si>
    <t>Strive Engineering Group, Inc.</t>
  </si>
  <si>
    <t>Henderson Engineers, Inc.</t>
  </si>
  <si>
    <t>The McIntosh Group, LLC</t>
  </si>
  <si>
    <t>Arcadis</t>
  </si>
  <si>
    <t>Dynamic Engineering</t>
  </si>
  <si>
    <t>PM Design Group, Inc</t>
  </si>
  <si>
    <t>Adams + Associates Architecture</t>
  </si>
  <si>
    <t>Arrowstreet Inc.</t>
  </si>
  <si>
    <t>BCT Design Group</t>
  </si>
  <si>
    <t>E &amp; S Construction Engineers, Inc.</t>
  </si>
  <si>
    <t>Case Engineering, Inc.</t>
  </si>
  <si>
    <t>Arc Three</t>
  </si>
  <si>
    <t>Proficient Engineering, Inc</t>
  </si>
  <si>
    <t>AO Architects</t>
  </si>
  <si>
    <t>Hobbs and Black Architects</t>
  </si>
  <si>
    <t>RDC.</t>
  </si>
  <si>
    <t>RSP Architects Ltd.</t>
  </si>
  <si>
    <t>Atwell, LLC</t>
  </si>
  <si>
    <t>Chinkapin Consulting Group, LLC</t>
  </si>
  <si>
    <t>JSD Professional Services, Inc.</t>
  </si>
  <si>
    <t>Baysinger Partners Architecture PC</t>
  </si>
  <si>
    <t>BCV Architecture &amp; Interiors</t>
  </si>
  <si>
    <t>Fox Design Group</t>
  </si>
  <si>
    <t>GO WEST Architecture</t>
  </si>
  <si>
    <t>McGillin Architecture Inc.</t>
  </si>
  <si>
    <t>Portica Architecture</t>
  </si>
  <si>
    <t>Ramon Design Group</t>
  </si>
  <si>
    <t>Studio KDA</t>
  </si>
  <si>
    <t>Bliss Fasman Inc.</t>
  </si>
  <si>
    <t>Dialectic, Inc.</t>
  </si>
  <si>
    <t>ECS Southeast, LLC</t>
  </si>
  <si>
    <t>Arquitectonica</t>
  </si>
  <si>
    <t>Terget</t>
  </si>
  <si>
    <t>Dynamic Earth, LLC</t>
  </si>
  <si>
    <t>Schwan Consulting SE, LLC - A.V. Schwan &amp; Associates</t>
  </si>
  <si>
    <t>Tamarack Grove Engineering</t>
  </si>
  <si>
    <t>Charles Vincent George Architects, Inc</t>
  </si>
  <si>
    <t>Collabor8 Architecture + Design Inc.</t>
  </si>
  <si>
    <t>Phoenix Design One</t>
  </si>
  <si>
    <t>Columbia Engineering and Services Inc.</t>
  </si>
  <si>
    <t>LOCHSA Engineering</t>
  </si>
  <si>
    <t>Site Solutions, LLC</t>
  </si>
  <si>
    <t>JMW Site Design, LLC</t>
  </si>
  <si>
    <t>Creative Sign Designs</t>
  </si>
  <si>
    <t>Code Consultants Inc.</t>
  </si>
  <si>
    <t>LDA Design Group, Inc.</t>
  </si>
  <si>
    <t>AW Services Group</t>
  </si>
  <si>
    <t>120Degreez</t>
  </si>
  <si>
    <t>Nelson Worldwide</t>
  </si>
  <si>
    <t>Civil &amp; Environmental Consultants, Inc.</t>
  </si>
  <si>
    <t>Competitor!!!!</t>
  </si>
  <si>
    <t>2025 Clients</t>
  </si>
  <si>
    <t>Primary Responsiblity Manager</t>
  </si>
  <si>
    <t>Target Contacts</t>
  </si>
  <si>
    <t>Do we have a regular sync meeting?</t>
  </si>
  <si>
    <t xml:space="preserve">Programs </t>
  </si>
  <si>
    <t>Target Contact Status (05 June 2025)</t>
  </si>
  <si>
    <t xml:space="preserve">Name </t>
  </si>
  <si>
    <t>Title</t>
  </si>
  <si>
    <t>Yes or No</t>
  </si>
  <si>
    <t>Target Contact Status Summary</t>
  </si>
  <si>
    <t>Atlantic AE</t>
  </si>
  <si>
    <t>Berkay / Ceren</t>
  </si>
  <si>
    <t>Paul Gierlach</t>
  </si>
  <si>
    <t>Client Director</t>
  </si>
  <si>
    <t>Encore Logistics Building</t>
  </si>
  <si>
    <t>Active Projects/Program</t>
  </si>
  <si>
    <t>Follow up for CD set... and second building.</t>
  </si>
  <si>
    <t>Krysten Gromly</t>
  </si>
  <si>
    <t>Project architect</t>
  </si>
  <si>
    <t>Waiting for Next Project</t>
  </si>
  <si>
    <t>FM Group</t>
  </si>
  <si>
    <t>John / Mertcan</t>
  </si>
  <si>
    <t>Tabitha Davis</t>
  </si>
  <si>
    <t>Operations Manager</t>
  </si>
  <si>
    <t>Pursuing Pilot</t>
  </si>
  <si>
    <t>Austin Burmer</t>
  </si>
  <si>
    <t>Senior Project Manager</t>
  </si>
  <si>
    <t>Pursuing Introduction</t>
  </si>
  <si>
    <t>Jamie Olivia</t>
  </si>
  <si>
    <t>Project Coordinator</t>
  </si>
  <si>
    <t>Unknown</t>
  </si>
  <si>
    <t>Miya Bebee</t>
  </si>
  <si>
    <t>Bahadir / Cagla</t>
  </si>
  <si>
    <t>Nick Caputo</t>
  </si>
  <si>
    <t>Rocky Mountain Chocolate Factory</t>
  </si>
  <si>
    <t>Number of Clients</t>
  </si>
  <si>
    <t>Dan Boyle</t>
  </si>
  <si>
    <t>Project Manager</t>
  </si>
  <si>
    <t>Home Depot</t>
  </si>
  <si>
    <t>reports to Kevin?</t>
  </si>
  <si>
    <t xml:space="preserve">Kevin Richardson </t>
  </si>
  <si>
    <t>Reports Doug Brookbank</t>
  </si>
  <si>
    <t>Meghana Joshi</t>
  </si>
  <si>
    <t>who is this?  when did we last talk to them</t>
  </si>
  <si>
    <t>Sarah Simchuck</t>
  </si>
  <si>
    <t>Principal / Senior Associate</t>
  </si>
  <si>
    <t>Victor Malerba</t>
  </si>
  <si>
    <t xml:space="preserve">Doug Brookbank </t>
  </si>
  <si>
    <t>Academy Sports</t>
  </si>
  <si>
    <t xml:space="preserve">Proposal sent in May </t>
  </si>
  <si>
    <t>Adrenaline</t>
  </si>
  <si>
    <t xml:space="preserve">John </t>
  </si>
  <si>
    <t>Frank Beardsworth</t>
  </si>
  <si>
    <t>Chief Delivery Officer</t>
  </si>
  <si>
    <t>PNC</t>
  </si>
  <si>
    <t xml:space="preserve">Gozde </t>
  </si>
  <si>
    <t>Samantha Carreiro</t>
  </si>
  <si>
    <t xml:space="preserve">Manager </t>
  </si>
  <si>
    <t>Jordan / Hande</t>
  </si>
  <si>
    <t>Bill Anderson</t>
  </si>
  <si>
    <t>Jordan</t>
  </si>
  <si>
    <t>Eric Anderson</t>
  </si>
  <si>
    <t>CPH</t>
  </si>
  <si>
    <t>Berkay</t>
  </si>
  <si>
    <t>Joshua Sleeter</t>
  </si>
  <si>
    <t>Walmart</t>
  </si>
  <si>
    <t xml:space="preserve">Paid when paid... </t>
  </si>
  <si>
    <t>Pam Friday</t>
  </si>
  <si>
    <t xml:space="preserve">worth a call... what is she doing now? </t>
  </si>
  <si>
    <t xml:space="preserve">Jason </t>
  </si>
  <si>
    <t>Todd Hendrix</t>
  </si>
  <si>
    <t>COO</t>
  </si>
  <si>
    <t>mentioned engineering, civil (Jose Ortiz - head of structural)</t>
  </si>
  <si>
    <t>Audrey Rivera</t>
  </si>
  <si>
    <t>-</t>
  </si>
  <si>
    <t>Ilker Uzun</t>
  </si>
  <si>
    <t>Novilla RNG</t>
  </si>
  <si>
    <t>Jason / Derya</t>
  </si>
  <si>
    <t>Kevin Clark</t>
  </si>
  <si>
    <t>Director of Engineering</t>
  </si>
  <si>
    <t>Cory Eberly</t>
  </si>
  <si>
    <t>Sr. Project Designer</t>
  </si>
  <si>
    <t xml:space="preserve">Director Project Development, Principal </t>
  </si>
  <si>
    <t>Daniel Wenzel</t>
  </si>
  <si>
    <t>Maite Ray-Rivera</t>
  </si>
  <si>
    <t>Christine Peterson</t>
  </si>
  <si>
    <t>Core States - Leadership</t>
  </si>
  <si>
    <t>Jason / John</t>
  </si>
  <si>
    <t>Bryan Grabon</t>
  </si>
  <si>
    <t>Director of Construction Programs</t>
  </si>
  <si>
    <t>Austin Stone</t>
  </si>
  <si>
    <t>Director of Design Efficiency + Analytics</t>
  </si>
  <si>
    <t>Jason Arasim</t>
  </si>
  <si>
    <t>Regional Managing Director - Pensylvania</t>
  </si>
  <si>
    <t>OneStream</t>
  </si>
  <si>
    <t xml:space="preserve">Core States - Restuarants </t>
  </si>
  <si>
    <t>Ruben Alonso</t>
  </si>
  <si>
    <t>Operations Director</t>
  </si>
  <si>
    <t>Yigit</t>
  </si>
  <si>
    <t>Kelley Teska</t>
  </si>
  <si>
    <t>BWW, Arby's, Zaxby's</t>
  </si>
  <si>
    <t>Alana Lee</t>
  </si>
  <si>
    <t>Keri Budzyn</t>
  </si>
  <si>
    <t>Organizational Effectiveness Manager</t>
  </si>
  <si>
    <t>Jordan?</t>
  </si>
  <si>
    <t xml:space="preserve">Mike Yao </t>
  </si>
  <si>
    <t>Program Manager</t>
  </si>
  <si>
    <t xml:space="preserve">CFA </t>
  </si>
  <si>
    <t xml:space="preserve">Core States - Energy </t>
  </si>
  <si>
    <t>Clay Gallagher</t>
  </si>
  <si>
    <t>EVGo</t>
  </si>
  <si>
    <t>Omar Tun</t>
  </si>
  <si>
    <t>Senior Project Designer</t>
  </si>
  <si>
    <t>Mark Bernet</t>
  </si>
  <si>
    <t xml:space="preserve">Core States - Retail </t>
  </si>
  <si>
    <t>Yigit (???)</t>
  </si>
  <si>
    <t>Daniel Blohowiak</t>
  </si>
  <si>
    <t>Senior Project Architect</t>
  </si>
  <si>
    <t>Family Express</t>
  </si>
  <si>
    <t>Brody Peterson</t>
  </si>
  <si>
    <t>Dollar Tree, Pep Boys, Lowes</t>
  </si>
  <si>
    <t>Jason</t>
  </si>
  <si>
    <t xml:space="preserve">Brad Hamilton </t>
  </si>
  <si>
    <t>Director of Architecture</t>
  </si>
  <si>
    <t xml:space="preserve">Angie Feulner </t>
  </si>
  <si>
    <t>Total Wine &amp; More</t>
  </si>
  <si>
    <t>Keyanna Yerry</t>
  </si>
  <si>
    <t>Circle K, Travel Center, Dash-in</t>
  </si>
  <si>
    <t>Core States - Finance</t>
  </si>
  <si>
    <t xml:space="preserve">Peter Hahn </t>
  </si>
  <si>
    <t>Virginia Alvarez</t>
  </si>
  <si>
    <t>Wells Fargo</t>
  </si>
  <si>
    <t>James Lalli</t>
  </si>
  <si>
    <t>Director of Architecture, Financial</t>
  </si>
  <si>
    <t>Core States - Engineering</t>
  </si>
  <si>
    <t>John Ferguson</t>
  </si>
  <si>
    <t>Sr. Director of Engineering</t>
  </si>
  <si>
    <t>David Leiffer</t>
  </si>
  <si>
    <t>Director of Mechanical Engineering</t>
  </si>
  <si>
    <t>Brad Myers</t>
  </si>
  <si>
    <t>Senior Project Manager - Electrical</t>
  </si>
  <si>
    <t>Oil Changers</t>
  </si>
  <si>
    <t>Carel Stevenson</t>
  </si>
  <si>
    <t>Structural Engineer</t>
  </si>
  <si>
    <t>Family Express, Oil Changers, CFA</t>
  </si>
  <si>
    <t>DXU</t>
  </si>
  <si>
    <t>Kaylee Kaufman</t>
  </si>
  <si>
    <t>Sr Project Manager</t>
  </si>
  <si>
    <t>Panera</t>
  </si>
  <si>
    <t>Austin Register</t>
  </si>
  <si>
    <t xml:space="preserve">Glowbar, Pickler </t>
  </si>
  <si>
    <t>Alex Karshis</t>
  </si>
  <si>
    <t xml:space="preserve">Anthony Volpe </t>
  </si>
  <si>
    <t>Big Blue</t>
  </si>
  <si>
    <t xml:space="preserve">May 23rd.   did we have a project closure meeting? </t>
  </si>
  <si>
    <t xml:space="preserve">Sean Jackson </t>
  </si>
  <si>
    <t>Solidcore</t>
  </si>
  <si>
    <t>(17 contacts in GoHighLevel, who else should we be regularly contacting?)</t>
  </si>
  <si>
    <t>CESO - Industrial</t>
  </si>
  <si>
    <t>Jake Bush</t>
  </si>
  <si>
    <t>All</t>
  </si>
  <si>
    <t>John / Bahadir</t>
  </si>
  <si>
    <t>Chris Westbrook</t>
  </si>
  <si>
    <t>Senior Program Director</t>
  </si>
  <si>
    <t xml:space="preserve">R+L Carriers </t>
  </si>
  <si>
    <t>Bahadir prepared proposals for R+L Carriers</t>
  </si>
  <si>
    <t>Jason / Bahadir</t>
  </si>
  <si>
    <t>Mike Bless</t>
  </si>
  <si>
    <t>Team Lead (Architecture)</t>
  </si>
  <si>
    <t>Elizabeth Cole</t>
  </si>
  <si>
    <t>Who has worked with Elizabeth Cole in the past?</t>
  </si>
  <si>
    <t>Jordan Flischman</t>
  </si>
  <si>
    <t>Engineering Manager</t>
  </si>
  <si>
    <t>RSR Civil STF</t>
  </si>
  <si>
    <t>Robert Malone</t>
  </si>
  <si>
    <t>Program Director</t>
  </si>
  <si>
    <t>AMZN SSD</t>
  </si>
  <si>
    <t>Cory Risola</t>
  </si>
  <si>
    <t>Ricky Williams</t>
  </si>
  <si>
    <t>Team Lead</t>
  </si>
  <si>
    <t>Amy Sanker</t>
  </si>
  <si>
    <t>Project Architect</t>
  </si>
  <si>
    <t>CESO - Commercial</t>
  </si>
  <si>
    <t>John / Jason</t>
  </si>
  <si>
    <t>Nick Hershberger</t>
  </si>
  <si>
    <t>Laura Smith</t>
  </si>
  <si>
    <t>Retail Market Leader</t>
  </si>
  <si>
    <t>Albertsons ADA</t>
  </si>
  <si>
    <t>Bob Morrison</t>
  </si>
  <si>
    <t>Sams Club</t>
  </si>
  <si>
    <t>Jason Longbrake</t>
  </si>
  <si>
    <t>Restaurant and Grocery Market Leader</t>
  </si>
  <si>
    <t>Cracker Barrel ADA, CAVA</t>
  </si>
  <si>
    <t>J.D. Damrath</t>
  </si>
  <si>
    <t>Fueling/C-Store Market Leader</t>
  </si>
  <si>
    <t>C-store and Car wash</t>
  </si>
  <si>
    <t>Bryan Hall</t>
  </si>
  <si>
    <t>Civil Business Unit Manager</t>
  </si>
  <si>
    <t>John</t>
  </si>
  <si>
    <t>Brady Harding</t>
  </si>
  <si>
    <t>Ashley Lyons</t>
  </si>
  <si>
    <t>Architecture Manager</t>
  </si>
  <si>
    <t>Lindsay Meranda</t>
  </si>
  <si>
    <t>Senior Designer</t>
  </si>
  <si>
    <t>CAVA</t>
  </si>
  <si>
    <t>David Teyber</t>
  </si>
  <si>
    <t>Albertsons ADA, Cracker Barrel ADA</t>
  </si>
  <si>
    <t>Katie Papin</t>
  </si>
  <si>
    <t>Sprouts</t>
  </si>
  <si>
    <t>Stephanie Lawson</t>
  </si>
  <si>
    <t>Colliers</t>
  </si>
  <si>
    <t xml:space="preserve">Yigit / Jason </t>
  </si>
  <si>
    <t>Justin Mihalik</t>
  </si>
  <si>
    <t>Wendy's, Light Bridge Academy</t>
  </si>
  <si>
    <t xml:space="preserve">We have no projects from CED this year... why? </t>
  </si>
  <si>
    <t>Jodi James</t>
  </si>
  <si>
    <t>Business Development</t>
  </si>
  <si>
    <t>Sarah Valluzzi</t>
  </si>
  <si>
    <t>Sean O'Rouke</t>
  </si>
  <si>
    <t>Architecture Discipline Leader</t>
  </si>
  <si>
    <t xml:space="preserve">Casey Whiteman </t>
  </si>
  <si>
    <t>Principal/Manager Site Development</t>
  </si>
  <si>
    <t>Data Centers / Distribution Centers</t>
  </si>
  <si>
    <t xml:space="preserve">Hal Staples </t>
  </si>
  <si>
    <t>Chris Young</t>
  </si>
  <si>
    <t>Might be worth trying again... its been two months.</t>
  </si>
  <si>
    <t>Ben Belle</t>
  </si>
  <si>
    <t>Wash Givings</t>
  </si>
  <si>
    <t>TWM Inc.</t>
  </si>
  <si>
    <t>Scott Carter</t>
  </si>
  <si>
    <t>SWARCO Renovation &amp; Expansion Project</t>
  </si>
  <si>
    <t>Hitachi Energy</t>
  </si>
  <si>
    <t>Emilia Gosiewska</t>
  </si>
  <si>
    <t>Application Manager</t>
  </si>
  <si>
    <t>APS</t>
  </si>
  <si>
    <t>???</t>
  </si>
  <si>
    <t>Dedem Mekatronik</t>
  </si>
  <si>
    <t xml:space="preserve">Sum =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</si>
  <si>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</si>
  <si>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</si>
  <si>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</si>
  <si>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</si>
  <si>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</si>
  <si>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</si>
  <si>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</si>
  <si>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</si>
  <si>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</si>
  <si>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</si>
  <si>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</si>
  <si>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</si>
  <si>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</t>
  </si>
  <si>
    <t>Projection</t>
  </si>
  <si>
    <t>TWM</t>
  </si>
  <si>
    <t>Total Actual Revenue</t>
  </si>
  <si>
    <t>Action Items</t>
  </si>
  <si>
    <t>Updated:</t>
  </si>
  <si>
    <t xml:space="preserve">Tasks / Questions for.... </t>
  </si>
  <si>
    <t xml:space="preserve">Item </t>
  </si>
  <si>
    <t>Hande</t>
  </si>
  <si>
    <t xml:space="preserve">Follow up with Austin Stone at Core States about bucket of hours for detail improvement. </t>
  </si>
  <si>
    <t>Follow up with Bill Fries about EV charging and help at BL Companies</t>
  </si>
  <si>
    <t xml:space="preserve">Connect with Bryan Grabon about missing POs and making the paperwork easier to work with CSG Engineering teams. </t>
  </si>
  <si>
    <t xml:space="preserve">Meet with Daniel Wetzel and Maite in America.  Talk Dollar Tire and more. </t>
  </si>
  <si>
    <t>Call Christine at BL Companies for project closure meeting... and ask whats next.</t>
  </si>
  <si>
    <t xml:space="preserve">Connect again for John Ferguson and ask about mechanical team members we met in April. </t>
  </si>
  <si>
    <t>Connect again with David Lieffer about mechanical scopes.</t>
  </si>
  <si>
    <t xml:space="preserve">Connect with Brad Myers to review electrical projects coming down the line. </t>
  </si>
  <si>
    <t xml:space="preserve">Connect with Casey Whiteman again about providing support to his teams for Civil related work. </t>
  </si>
  <si>
    <t xml:space="preserve">How do we connect with Mike Yao to ask about CFA projects? </t>
  </si>
  <si>
    <t xml:space="preserve">Call Daniel Blohowiak and reconnect on Family Express.  See what else might be cooking.  </t>
  </si>
  <si>
    <t>Cagla</t>
  </si>
  <si>
    <t>Gozde</t>
  </si>
  <si>
    <t>Mertcan</t>
  </si>
  <si>
    <t>2026 Target Contacts Name</t>
  </si>
  <si>
    <t>Programs / Notes</t>
  </si>
  <si>
    <t>Amy</t>
  </si>
  <si>
    <t>Jason/Derya</t>
  </si>
  <si>
    <t>Jason/Basak</t>
  </si>
  <si>
    <t>Jason/Cagla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</si>
  <si>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</si>
  <si>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</si>
  <si>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</si>
  <si>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</si>
  <si>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</si>
  <si>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</si>
  <si>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</si>
  <si>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</si>
  <si>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</si>
  <si>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</si>
  <si>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</si>
  <si>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Weekly</t>
  </si>
  <si>
    <t>Schematic Floorplans</t>
  </si>
  <si>
    <t>Kim Beardsworth</t>
  </si>
  <si>
    <t>Centier Bank Westfield</t>
  </si>
  <si>
    <t>APEX</t>
  </si>
  <si>
    <t>QAQC, SCAN to BIM</t>
  </si>
  <si>
    <t>Franco Gamero</t>
  </si>
  <si>
    <t xml:space="preserve">AMZN SSD </t>
  </si>
  <si>
    <t>Patrick Gaither</t>
  </si>
  <si>
    <t>Civil</t>
  </si>
  <si>
    <t>Monthly</t>
  </si>
  <si>
    <t>Discount Tire</t>
  </si>
  <si>
    <t>Bi-weekly</t>
  </si>
  <si>
    <t>AMZN</t>
  </si>
  <si>
    <t>CESO - Auto &amp; C-Store</t>
  </si>
  <si>
    <t xml:space="preserve">Ben Reale </t>
  </si>
  <si>
    <t>CESO - Civil</t>
  </si>
  <si>
    <t>Jeffery Lonchor</t>
  </si>
  <si>
    <t>Cracker Barrel ADA</t>
  </si>
  <si>
    <t>Quarterly</t>
  </si>
  <si>
    <t xml:space="preserve">Micheal Allen </t>
  </si>
  <si>
    <t>AMZN BIG STORES (~1mil sft)</t>
  </si>
  <si>
    <t>Terry Bilderbeck</t>
  </si>
  <si>
    <t>AMZN RSR</t>
  </si>
  <si>
    <t>CESO - Industrial (Civil)</t>
  </si>
  <si>
    <t>Ricardo Chambers</t>
  </si>
  <si>
    <t>SSD Civil SEP</t>
  </si>
  <si>
    <t>Julia Chen</t>
  </si>
  <si>
    <t>Project Engineer II</t>
  </si>
  <si>
    <t>Tyler Youler</t>
  </si>
  <si>
    <t>Assistant Project Manager</t>
  </si>
  <si>
    <t>CESO - Leadership</t>
  </si>
  <si>
    <t>Lennie Arnold</t>
  </si>
  <si>
    <t>Pat MacNabb</t>
  </si>
  <si>
    <t>CESO - Restaurant &amp; Grocery</t>
  </si>
  <si>
    <t>once a month</t>
  </si>
  <si>
    <t>CESO - Retail</t>
  </si>
  <si>
    <t>Dee Mock</t>
  </si>
  <si>
    <t>CESO - Sams Club</t>
  </si>
  <si>
    <t>Caitlyn McCausland</t>
  </si>
  <si>
    <t>Senior Architectural Designer</t>
  </si>
  <si>
    <t>Eric Eberhardt</t>
  </si>
  <si>
    <t>CESO - Walmart</t>
  </si>
  <si>
    <t>Walmart Remodel</t>
  </si>
  <si>
    <t>Walmart &amp; Sams Club</t>
  </si>
  <si>
    <t>Dana Reeves</t>
  </si>
  <si>
    <t>Collier Eng. &amp; Design</t>
  </si>
  <si>
    <t>Commercial Market &amp; Discipline Leader</t>
  </si>
  <si>
    <t>Jason Boris</t>
  </si>
  <si>
    <t>Design Director</t>
  </si>
  <si>
    <t>Core States</t>
  </si>
  <si>
    <t>Kate Sabol</t>
  </si>
  <si>
    <t xml:space="preserve">Core States </t>
  </si>
  <si>
    <t>Starbucks</t>
  </si>
  <si>
    <t>Core States - C-Store</t>
  </si>
  <si>
    <t>Kent Craig</t>
  </si>
  <si>
    <t>Senior Electrical Project Manager</t>
  </si>
  <si>
    <t>Tyler Starr</t>
  </si>
  <si>
    <t>Mechanical Project Engineer</t>
  </si>
  <si>
    <t>Fredwin Molina</t>
  </si>
  <si>
    <t>Core States - Retail</t>
  </si>
  <si>
    <t>Every Other Month</t>
  </si>
  <si>
    <t>Walmart FV Shells</t>
  </si>
  <si>
    <t>Retail Studio Principal</t>
  </si>
  <si>
    <t>Project Designer</t>
  </si>
  <si>
    <t>Design Manager</t>
  </si>
  <si>
    <t>Emily Lindsay</t>
  </si>
  <si>
    <t>Director</t>
  </si>
  <si>
    <t>SolidCore / Big Blue</t>
  </si>
  <si>
    <t>Kevin Bromenshenk</t>
  </si>
  <si>
    <t>Flintco</t>
  </si>
  <si>
    <t>VDC Director</t>
  </si>
  <si>
    <t xml:space="preserve">Aaron Downing </t>
  </si>
  <si>
    <t>VDC Coordinator</t>
  </si>
  <si>
    <t>Izzio Bakery</t>
  </si>
  <si>
    <t>Chris Martin</t>
  </si>
  <si>
    <t>VDC Senior Coordinator</t>
  </si>
  <si>
    <t>JeffCo Library</t>
  </si>
  <si>
    <t>Dave Garbaz</t>
  </si>
  <si>
    <t>VDC Manager</t>
  </si>
  <si>
    <t>Sporatic projects</t>
  </si>
  <si>
    <t>VP, Principal</t>
  </si>
  <si>
    <t>Heath Minyard</t>
  </si>
  <si>
    <t>Walmart (new stores)</t>
  </si>
  <si>
    <t>Virginia Hart</t>
  </si>
  <si>
    <t>Panda Express, Aldi Revit Conversion</t>
  </si>
  <si>
    <t>Blake Collier</t>
  </si>
  <si>
    <t>Panda Express</t>
  </si>
  <si>
    <t xml:space="preserve">Grace Williams </t>
  </si>
  <si>
    <t>Walmart New Builds</t>
  </si>
  <si>
    <t xml:space="preserve">Jeff Dalton </t>
  </si>
  <si>
    <t>BSFRO</t>
  </si>
  <si>
    <t>Total # of Contacts:</t>
  </si>
  <si>
    <t xml:space="preserve">sum = </t>
  </si>
  <si>
    <t>Number of Clients Per TL &amp; Manager</t>
  </si>
  <si>
    <t>market leaders / VPs (phone calls / teams calls)</t>
  </si>
  <si>
    <t xml:space="preserve">project managers </t>
  </si>
  <si>
    <t>Sum =</t>
  </si>
  <si>
    <t>BD Approach Summary</t>
  </si>
  <si>
    <t>Meet
(They have not hear of us before)</t>
  </si>
  <si>
    <t>Met
(Introduced but interst in unclear)</t>
  </si>
  <si>
    <t xml:space="preserve">Get Pilot
(They showed interest) </t>
  </si>
  <si>
    <t>Develop 
(1st project done, Get repeat work)</t>
  </si>
  <si>
    <t>Expand
(Find other Divisions/PMs/Sectors)</t>
  </si>
  <si>
    <t>Maintain
(Keep them happy)</t>
  </si>
  <si>
    <t>Top 50 Firms</t>
  </si>
  <si>
    <t>Bohler Engineering (Warren, NJ)</t>
  </si>
  <si>
    <t>Cyntergy (Tulsa, OK)</t>
  </si>
  <si>
    <t>DxU</t>
  </si>
  <si>
    <t>NORR (Detroit, MI)</t>
  </si>
  <si>
    <t>Benchmark (Rogers, AR)</t>
  </si>
  <si>
    <t>APEX/FM Group</t>
  </si>
  <si>
    <t>CECI (Nashville, TN)</t>
  </si>
  <si>
    <t>Galloway (Witicha, KS)</t>
  </si>
  <si>
    <t xml:space="preserve">Kimley Horn </t>
  </si>
  <si>
    <t>TPG Architects (FL and NY city)</t>
  </si>
  <si>
    <t xml:space="preserve">CPH </t>
  </si>
  <si>
    <t>Little (Charlotte, NC)</t>
  </si>
  <si>
    <t>BRP Arch [hospitality] (Springfield, MO)</t>
  </si>
  <si>
    <t>HFA (Bentonville, AR)</t>
  </si>
  <si>
    <t>Tricarico Architecture (Wayne, NJ)</t>
  </si>
  <si>
    <t>Silver Studio Architects</t>
  </si>
  <si>
    <t>bdg Architects</t>
  </si>
  <si>
    <t>Onyx (Cleveland, OH)</t>
  </si>
  <si>
    <t>KTGY (Irvine, CA)</t>
  </si>
  <si>
    <t>MJM (Nashville, TN)</t>
  </si>
  <si>
    <t xml:space="preserve">MG2 </t>
  </si>
  <si>
    <t>API</t>
  </si>
  <si>
    <t>Zelus (VDC) (Pheonix, AZ)</t>
  </si>
  <si>
    <t>Colliers Eng. and Design</t>
  </si>
  <si>
    <t>HLVG</t>
  </si>
  <si>
    <t>Cooper Carry [hospitality] (Atlanta, GA)</t>
  </si>
  <si>
    <t>JDA Arch [hospitality] (Woodinville, WA)</t>
  </si>
  <si>
    <t>Clayco [mutli family] (Chicago, IL)</t>
  </si>
  <si>
    <t>Crenshaw Consulting (MEP) (Raleigh, NC)</t>
  </si>
  <si>
    <t>GPRS</t>
  </si>
  <si>
    <t>Coast 2 Coast</t>
  </si>
  <si>
    <t xml:space="preserve">BRR </t>
  </si>
  <si>
    <t>JCJ</t>
  </si>
  <si>
    <t>Number of Firms =</t>
  </si>
  <si>
    <t>Address</t>
  </si>
  <si>
    <t xml:space="preserve">Cyntergy </t>
  </si>
  <si>
    <t>810 S Cincinnati Ave # 200, Tulsa, OK 74119</t>
  </si>
  <si>
    <t>Steve Ryals</t>
  </si>
  <si>
    <t>Seth Hildebrandt</t>
  </si>
  <si>
    <t>Benchmark</t>
  </si>
  <si>
    <t>1805 N 2nd St, Rogers, AR 72756</t>
  </si>
  <si>
    <t>Stephanie Whorton</t>
  </si>
  <si>
    <t>Galloway</t>
  </si>
  <si>
    <t>400 S Emporia St Suite 300, Wichita, KS 67202</t>
  </si>
  <si>
    <t>(Caty) Catherine Gaboian</t>
  </si>
  <si>
    <t>Lexi Bauer</t>
  </si>
  <si>
    <t>25001 Emery Rd # 400, Cleveland, OH 44128</t>
  </si>
  <si>
    <t>Zelus (VDC)</t>
  </si>
  <si>
    <t>David McDonald</t>
  </si>
  <si>
    <t>5013 E. Washington Street, Suite 150, Phoenix, Arizona 85034</t>
  </si>
  <si>
    <t>TPG Architects</t>
  </si>
  <si>
    <t>Hernan Graziano</t>
  </si>
  <si>
    <t>500 Winderley Place, Suite 218, Maitland, FL, 32751</t>
  </si>
  <si>
    <t>191 Peachtree St #2400, Atlanta, GA 30303</t>
  </si>
  <si>
    <t>MJM</t>
  </si>
  <si>
    <t>2948 Sidco Dr #206, Nashville, TN 37204</t>
  </si>
  <si>
    <t>Gretchen Baker</t>
  </si>
  <si>
    <t>Dustin johnston</t>
  </si>
  <si>
    <t>Jeff Poutney</t>
  </si>
  <si>
    <t>Status / Next Steps</t>
  </si>
  <si>
    <t>Review list from Retail / Multi-site roll out perspective</t>
  </si>
  <si>
    <t>Create list of top hospitality / multi-family firms</t>
  </si>
  <si>
    <t>Create list of top engineering firms (SMEP + Civil)</t>
  </si>
  <si>
    <t>Create list of firms focused on Data Centers</t>
  </si>
  <si>
    <t>Create list of firms using VDC</t>
  </si>
  <si>
    <t>Send case study in Jan.</t>
  </si>
  <si>
    <t>Set up meeting in Jan. with others in office</t>
  </si>
  <si>
    <t>holly  .... ?</t>
  </si>
  <si>
    <t>Meeting this afternoon 01/13</t>
  </si>
  <si>
    <t>Need to reach out Re NDA</t>
  </si>
  <si>
    <t>Waiting on documents for pricing</t>
  </si>
  <si>
    <t xml:space="preserve">Meeting next week. </t>
  </si>
  <si>
    <t>I need to send pricing to him...</t>
  </si>
  <si>
    <t>combined proposal sent.  Call next week</t>
  </si>
  <si>
    <t>Reach back out to ____</t>
  </si>
  <si>
    <t>Follow up again in March??  (new baby for george, slower start to year)</t>
  </si>
  <si>
    <t>Reach back out to set up time to chat</t>
  </si>
  <si>
    <t>reach back out about february</t>
  </si>
  <si>
    <t>by AMY</t>
  </si>
  <si>
    <t xml:space="preserve">Set up meeting </t>
  </si>
  <si>
    <t>Get NDA and docs for pricing</t>
  </si>
  <si>
    <t>Tricarico Architects</t>
  </si>
  <si>
    <t>Follow up in February.  They plan to attend AI webinar</t>
  </si>
  <si>
    <t>Barbara - AI + Guardhouses, visit in Feb
Maite - Discount Tire</t>
  </si>
  <si>
    <t>Patrick Gaither - SSDs</t>
  </si>
  <si>
    <t>Joshua Sleeter - AI</t>
  </si>
  <si>
    <t>Justin M. - reach back out mid feb.
Dana Reeves - visit in February</t>
  </si>
  <si>
    <t>Kevin B. - follow up after projects.</t>
  </si>
  <si>
    <t>Expand within Walmart and Auto/Conv.</t>
  </si>
  <si>
    <t xml:space="preserve">Retail, Resturants, Walmart(?), Sams (?), Target Convienece and Auto </t>
  </si>
  <si>
    <t>Target Walmart New Stores, Add AMZON SSD and RSR, target Sams Club Remodels</t>
  </si>
  <si>
    <t xml:space="preserve">Add Kim Beardsworth's group, target construction group? </t>
  </si>
  <si>
    <t>Picklr, Solidcore, Glowbar, 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</si>
</sst>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[$$-409]* #,##0_);_([$$-409]* \(#,##0\);_([$$-409]* &quot;-&quot;??_);_(@_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101828"/>
      <name val="Roboto"/>
      <charset val="1"/>
    </font>
    <font>
      <b/>
      <sz val="12"/>
      <color rgb="FF000000"/>
      <name val="Calibri"/>
      <family val="2"/>
    </font>
    <font>
      <b/>
      <sz val="11"/>
      <color indexed="8"/>
      <name val="Aptos Narrow"/>
      <scheme val="minor"/>
    </font>
    <font>
      <sz val="12"/>
      <color rgb="FF000000"/>
      <name val="Calibri"/>
      <family val="2"/>
    </font>
    <font>
      <sz val="11"/>
      <color rgb="FF242424"/>
      <name val="Aptos Narrow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00"/>
      <name val="Aptos Narrow"/>
    </font>
    <font>
      <u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</font>
    <font>
      <sz val="12"/>
      <color theme="1"/>
      <name val="Aptos"/>
      <family val="2"/>
      <charset val="1"/>
    </font>
    <font>
      <sz val="12"/>
      <color rgb="FF000000"/>
      <name val="Aptos"/>
      <family val="2"/>
      <charset val="1"/>
    </font>
    <font>
      <sz val="11"/>
      <color rgb="FF000000"/>
      <name val="Aptos Narrow"/>
      <family val="2"/>
      <scheme val="minor"/>
    </font>
    <font>
      <sz val="11"/>
      <color rgb="FF1F1F1F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28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1" applyNumberFormat="1" applyFont="1" applyFill="1" applyBorder="1"/>
    <xf numFmtId="164" fontId="0" fillId="0" borderId="1" xfId="1" applyNumberFormat="1" applyFont="1" applyBorder="1"/>
    <xf numFmtId="0" fontId="3" fillId="3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1" xfId="1" applyNumberFormat="1" applyFont="1" applyFill="1" applyBorder="1"/>
    <xf numFmtId="0" fontId="0" fillId="0" borderId="3" xfId="0" applyBorder="1"/>
    <xf numFmtId="164" fontId="0" fillId="0" borderId="3" xfId="1" applyNumberFormat="1" applyFont="1" applyFill="1" applyBorder="1"/>
    <xf numFmtId="164" fontId="0" fillId="0" borderId="0" xfId="1" applyNumberFormat="1" applyFont="1" applyFill="1" applyBorder="1"/>
    <xf numFmtId="0" fontId="3" fillId="0" borderId="0" xfId="0" applyFont="1" applyAlignment="1">
      <alignment vertical="center" wrapText="1"/>
    </xf>
    <xf numFmtId="0" fontId="4" fillId="0" borderId="0" xfId="2"/>
    <xf numFmtId="0" fontId="0" fillId="4" borderId="0" xfId="0" applyFill="1"/>
    <xf numFmtId="0" fontId="0" fillId="5" borderId="0" xfId="0" applyFill="1"/>
    <xf numFmtId="0" fontId="5" fillId="0" borderId="1" xfId="0" applyFont="1" applyBorder="1" applyAlignment="1">
      <alignment vertical="center" wrapText="1"/>
    </xf>
    <xf numFmtId="0" fontId="6" fillId="5" borderId="0" xfId="0" applyFont="1" applyFill="1"/>
    <xf numFmtId="0" fontId="6" fillId="0" borderId="0" xfId="0" applyFont="1"/>
    <xf numFmtId="0" fontId="0" fillId="6" borderId="0" xfId="0" applyFill="1"/>
    <xf numFmtId="0" fontId="0" fillId="2" borderId="4" xfId="0" applyFill="1" applyBorder="1"/>
    <xf numFmtId="0" fontId="0" fillId="0" borderId="4" xfId="0" applyBorder="1"/>
    <xf numFmtId="0" fontId="0" fillId="7" borderId="3" xfId="0" applyFill="1" applyBorder="1"/>
    <xf numFmtId="0" fontId="0" fillId="7" borderId="1" xfId="0" applyFill="1" applyBorder="1"/>
    <xf numFmtId="0" fontId="0" fillId="7" borderId="0" xfId="0" applyFill="1"/>
    <xf numFmtId="0" fontId="0" fillId="0" borderId="0" xfId="0" quotePrefix="1"/>
    <xf numFmtId="0" fontId="7" fillId="4" borderId="0" xfId="0" applyFont="1" applyFill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164" fontId="9" fillId="0" borderId="8" xfId="1" applyNumberFormat="1" applyFont="1" applyBorder="1" applyAlignment="1">
      <alignment horizontal="center"/>
    </xf>
    <xf numFmtId="0" fontId="10" fillId="0" borderId="9" xfId="0" applyFont="1" applyBorder="1"/>
    <xf numFmtId="165" fontId="10" fillId="0" borderId="9" xfId="0" applyNumberFormat="1" applyFont="1" applyBorder="1"/>
    <xf numFmtId="165" fontId="10" fillId="0" borderId="0" xfId="0" applyNumberFormat="1" applyFont="1"/>
    <xf numFmtId="165" fontId="10" fillId="0" borderId="10" xfId="0" applyNumberFormat="1" applyFont="1" applyBorder="1"/>
    <xf numFmtId="165" fontId="10" fillId="0" borderId="11" xfId="0" applyNumberFormat="1" applyFont="1" applyBorder="1"/>
    <xf numFmtId="164" fontId="0" fillId="0" borderId="0" xfId="1" applyNumberFormat="1" applyFont="1"/>
    <xf numFmtId="0" fontId="10" fillId="0" borderId="9" xfId="0" applyFont="1" applyBorder="1" applyAlignment="1">
      <alignment vertical="center"/>
    </xf>
    <xf numFmtId="0" fontId="10" fillId="0" borderId="9" xfId="0" applyFont="1" applyBorder="1" applyAlignment="1">
      <alignment horizontal="left"/>
    </xf>
    <xf numFmtId="0" fontId="11" fillId="0" borderId="9" xfId="0" applyFont="1" applyBorder="1"/>
    <xf numFmtId="165" fontId="10" fillId="0" borderId="12" xfId="0" applyNumberFormat="1" applyFont="1" applyBorder="1"/>
    <xf numFmtId="0" fontId="10" fillId="8" borderId="9" xfId="0" applyFont="1" applyFill="1" applyBorder="1" applyAlignment="1">
      <alignment vertical="center"/>
    </xf>
    <xf numFmtId="165" fontId="10" fillId="8" borderId="9" xfId="0" applyNumberFormat="1" applyFont="1" applyFill="1" applyBorder="1"/>
    <xf numFmtId="165" fontId="10" fillId="0" borderId="13" xfId="0" applyNumberFormat="1" applyFont="1" applyBorder="1"/>
    <xf numFmtId="165" fontId="10" fillId="0" borderId="14" xfId="0" applyNumberFormat="1" applyFont="1" applyBorder="1"/>
    <xf numFmtId="0" fontId="8" fillId="0" borderId="15" xfId="0" applyFont="1" applyBorder="1"/>
    <xf numFmtId="165" fontId="8" fillId="0" borderId="6" xfId="0" applyNumberFormat="1" applyFont="1" applyBorder="1"/>
    <xf numFmtId="165" fontId="8" fillId="0" borderId="7" xfId="0" applyNumberFormat="1" applyFont="1" applyBorder="1"/>
    <xf numFmtId="0" fontId="12" fillId="0" borderId="0" xfId="0" applyFont="1"/>
    <xf numFmtId="0" fontId="0" fillId="0" borderId="16" xfId="0" applyBorder="1"/>
    <xf numFmtId="0" fontId="0" fillId="0" borderId="19" xfId="0" applyBorder="1"/>
    <xf numFmtId="0" fontId="0" fillId="0" borderId="18" xfId="0" applyBorder="1"/>
    <xf numFmtId="0" fontId="0" fillId="0" borderId="16" xfId="0" applyBorder="1" applyAlignment="1">
      <alignment vertical="top"/>
    </xf>
    <xf numFmtId="0" fontId="5" fillId="0" borderId="17" xfId="0" applyFont="1" applyBorder="1" applyAlignment="1">
      <alignment horizontal="left" vertical="top"/>
    </xf>
    <xf numFmtId="0" fontId="5" fillId="0" borderId="16" xfId="0" applyFont="1" applyBorder="1"/>
    <xf numFmtId="0" fontId="12" fillId="7" borderId="16" xfId="0" applyFont="1" applyFill="1" applyBorder="1" applyAlignment="1">
      <alignment horizontal="center"/>
    </xf>
    <xf numFmtId="0" fontId="15" fillId="0" borderId="0" xfId="0" applyFont="1"/>
    <xf numFmtId="14" fontId="0" fillId="0" borderId="0" xfId="0" applyNumberFormat="1" applyAlignment="1">
      <alignment horizontal="left"/>
    </xf>
    <xf numFmtId="0" fontId="0" fillId="0" borderId="16" xfId="0" applyBorder="1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9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/>
    <xf numFmtId="0" fontId="17" fillId="0" borderId="0" xfId="0" applyFont="1" applyAlignment="1">
      <alignment horizontal="center"/>
    </xf>
    <xf numFmtId="0" fontId="13" fillId="7" borderId="17" xfId="0" applyFont="1" applyFill="1" applyBorder="1" applyAlignment="1">
      <alignment horizontal="center"/>
    </xf>
    <xf numFmtId="0" fontId="0" fillId="0" borderId="21" xfId="0" applyBorder="1"/>
    <xf numFmtId="0" fontId="0" fillId="0" borderId="17" xfId="0" applyBorder="1" applyAlignment="1">
      <alignment horizontal="center" vertical="top"/>
    </xf>
    <xf numFmtId="0" fontId="0" fillId="0" borderId="13" xfId="0" applyBorder="1" applyAlignment="1">
      <alignment horizontal="left" vertical="top"/>
    </xf>
    <xf numFmtId="0" fontId="13" fillId="7" borderId="19" xfId="0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/>
    </xf>
    <xf numFmtId="0" fontId="18" fillId="0" borderId="16" xfId="0" applyFont="1" applyBorder="1" applyAlignment="1">
      <alignment wrapText="1"/>
    </xf>
    <xf numFmtId="0" fontId="1" fillId="0" borderId="16" xfId="0" applyFont="1" applyBorder="1" applyAlignment="1">
      <alignment horizontal="left" vertical="top"/>
    </xf>
    <xf numFmtId="0" fontId="1" fillId="0" borderId="18" xfId="0" applyFont="1" applyBorder="1"/>
    <xf numFmtId="0" fontId="1" fillId="0" borderId="21" xfId="0" applyFont="1" applyBorder="1"/>
    <xf numFmtId="0" fontId="1" fillId="0" borderId="16" xfId="0" applyFont="1" applyBorder="1"/>
    <xf numFmtId="0" fontId="1" fillId="0" borderId="19" xfId="0" applyFont="1" applyBorder="1"/>
    <xf numFmtId="0" fontId="1" fillId="10" borderId="16" xfId="0" applyFont="1" applyFill="1" applyBorder="1"/>
    <xf numFmtId="0" fontId="1" fillId="0" borderId="16" xfId="0" applyFont="1" applyBorder="1" applyAlignment="1">
      <alignment vertical="top"/>
    </xf>
    <xf numFmtId="0" fontId="1" fillId="0" borderId="22" xfId="0" applyFont="1" applyBorder="1"/>
    <xf numFmtId="0" fontId="1" fillId="0" borderId="13" xfId="0" applyFont="1" applyBorder="1" applyAlignment="1">
      <alignment vertical="top"/>
    </xf>
    <xf numFmtId="0" fontId="1" fillId="0" borderId="20" xfId="0" applyFont="1" applyBorder="1"/>
    <xf numFmtId="0" fontId="1" fillId="0" borderId="17" xfId="0" applyFont="1" applyBorder="1" applyAlignment="1">
      <alignment horizontal="left" vertical="top"/>
    </xf>
    <xf numFmtId="0" fontId="1" fillId="0" borderId="17" xfId="0" applyFont="1" applyBorder="1" applyAlignment="1">
      <alignment vertical="top"/>
    </xf>
    <xf numFmtId="0" fontId="1" fillId="0" borderId="0" xfId="0" applyFont="1"/>
    <xf numFmtId="0" fontId="1" fillId="0" borderId="17" xfId="0" applyFont="1" applyBorder="1"/>
    <xf numFmtId="0" fontId="1" fillId="0" borderId="25" xfId="0" applyFont="1" applyBorder="1"/>
    <xf numFmtId="0" fontId="1" fillId="0" borderId="24" xfId="0" applyFont="1" applyBorder="1"/>
    <xf numFmtId="0" fontId="1" fillId="0" borderId="18" xfId="0" applyFont="1" applyBorder="1" applyAlignment="1">
      <alignment vertical="top"/>
    </xf>
    <xf numFmtId="0" fontId="0" fillId="0" borderId="17" xfId="0" applyBorder="1" applyAlignment="1">
      <alignment wrapText="1"/>
    </xf>
    <xf numFmtId="0" fontId="18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0" fillId="11" borderId="0" xfId="0" applyFill="1"/>
    <xf numFmtId="0" fontId="0" fillId="9" borderId="0" xfId="0" applyFill="1"/>
    <xf numFmtId="0" fontId="0" fillId="0" borderId="27" xfId="0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12" borderId="0" xfId="0" applyFill="1" applyAlignment="1">
      <alignment vertical="center" wrapText="1"/>
    </xf>
    <xf numFmtId="0" fontId="0" fillId="13" borderId="0" xfId="0" applyFill="1"/>
    <xf numFmtId="0" fontId="20" fillId="0" borderId="0" xfId="0" applyFont="1" applyAlignment="1">
      <alignment horizontal="center"/>
    </xf>
    <xf numFmtId="0" fontId="0" fillId="0" borderId="29" xfId="0" applyBorder="1"/>
    <xf numFmtId="0" fontId="20" fillId="0" borderId="27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0" fillId="0" borderId="30" xfId="0" applyBorder="1"/>
    <xf numFmtId="0" fontId="21" fillId="0" borderId="16" xfId="0" applyFont="1" applyBorder="1"/>
    <xf numFmtId="0" fontId="12" fillId="14" borderId="16" xfId="0" applyFont="1" applyFill="1" applyBorder="1" applyAlignment="1">
      <alignment horizontal="center" wrapText="1"/>
    </xf>
    <xf numFmtId="0" fontId="22" fillId="0" borderId="17" xfId="0" applyFont="1" applyBorder="1"/>
    <xf numFmtId="0" fontId="22" fillId="0" borderId="0" xfId="0" applyFont="1"/>
    <xf numFmtId="0" fontId="21" fillId="0" borderId="17" xfId="0" applyFont="1" applyBorder="1"/>
    <xf numFmtId="0" fontId="0" fillId="0" borderId="14" xfId="0" applyBorder="1"/>
    <xf numFmtId="0" fontId="0" fillId="0" borderId="31" xfId="0" applyBorder="1"/>
    <xf numFmtId="0" fontId="22" fillId="0" borderId="31" xfId="0" applyFont="1" applyBorder="1"/>
    <xf numFmtId="0" fontId="21" fillId="0" borderId="31" xfId="0" applyFont="1" applyBorder="1"/>
    <xf numFmtId="0" fontId="1" fillId="0" borderId="22" xfId="0" applyFont="1" applyBorder="1" applyAlignment="1">
      <alignment horizontal="left" vertical="top"/>
    </xf>
    <xf numFmtId="0" fontId="1" fillId="0" borderId="32" xfId="0" applyFont="1" applyBorder="1" applyAlignment="1">
      <alignment vertical="top"/>
    </xf>
    <xf numFmtId="0" fontId="1" fillId="0" borderId="32" xfId="0" applyFont="1" applyBorder="1" applyAlignment="1">
      <alignment horizontal="left" vertical="top"/>
    </xf>
    <xf numFmtId="0" fontId="0" fillId="0" borderId="32" xfId="0" applyBorder="1" applyAlignment="1">
      <alignment vertical="top"/>
    </xf>
    <xf numFmtId="0" fontId="5" fillId="7" borderId="17" xfId="0" applyFont="1" applyFill="1" applyBorder="1" applyAlignment="1">
      <alignment horizontal="center" wrapText="1"/>
    </xf>
    <xf numFmtId="0" fontId="13" fillId="7" borderId="16" xfId="0" applyFont="1" applyFill="1" applyBorder="1" applyAlignment="1">
      <alignment wrapText="1"/>
    </xf>
    <xf numFmtId="0" fontId="13" fillId="7" borderId="20" xfId="0" applyFont="1" applyFill="1" applyBorder="1" applyAlignment="1">
      <alignment horizontal="center" wrapText="1"/>
    </xf>
    <xf numFmtId="0" fontId="13" fillId="7" borderId="19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4" xfId="0" applyBorder="1"/>
    <xf numFmtId="0" fontId="0" fillId="0" borderId="22" xfId="0" applyBorder="1"/>
    <xf numFmtId="0" fontId="1" fillId="0" borderId="32" xfId="0" applyFont="1" applyBorder="1"/>
    <xf numFmtId="0" fontId="0" fillId="0" borderId="32" xfId="0" applyBorder="1"/>
    <xf numFmtId="0" fontId="0" fillId="0" borderId="32" xfId="0" applyBorder="1" applyAlignment="1">
      <alignment horizontal="left" indent="3"/>
    </xf>
    <xf numFmtId="0" fontId="0" fillId="0" borderId="32" xfId="0" applyBorder="1" applyAlignment="1">
      <alignment horizontal="center"/>
    </xf>
    <xf numFmtId="0" fontId="12" fillId="15" borderId="32" xfId="0" applyFont="1" applyFill="1" applyBorder="1" applyAlignment="1">
      <alignment horizontal="right"/>
    </xf>
    <xf numFmtId="0" fontId="12" fillId="15" borderId="32" xfId="0" applyFont="1" applyFill="1" applyBorder="1" applyAlignment="1">
      <alignment horizontal="center"/>
    </xf>
    <xf numFmtId="0" fontId="0" fillId="0" borderId="22" xfId="0" applyBorder="1" applyAlignment="1">
      <alignment horizontal="left" vertical="top"/>
    </xf>
    <xf numFmtId="0" fontId="1" fillId="0" borderId="5" xfId="0" applyFont="1" applyBorder="1"/>
    <xf numFmtId="0" fontId="3" fillId="17" borderId="32" xfId="0" applyFont="1" applyFill="1" applyBorder="1" applyAlignment="1">
      <alignment horizontal="center" vertical="center" wrapText="1"/>
    </xf>
    <xf numFmtId="0" fontId="0" fillId="0" borderId="34" xfId="0" applyBorder="1" applyAlignment="1">
      <alignment vertical="top"/>
    </xf>
    <xf numFmtId="0" fontId="0" fillId="0" borderId="33" xfId="0" applyBorder="1"/>
    <xf numFmtId="0" fontId="0" fillId="0" borderId="3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9" borderId="22" xfId="0" applyFont="1" applyFill="1" applyBorder="1"/>
    <xf numFmtId="0" fontId="6" fillId="0" borderId="32" xfId="0" applyFont="1" applyBorder="1" applyAlignment="1">
      <alignment vertical="top"/>
    </xf>
    <xf numFmtId="0" fontId="23" fillId="0" borderId="32" xfId="0" applyFont="1" applyBorder="1" applyAlignment="1">
      <alignment vertical="top"/>
    </xf>
    <xf numFmtId="0" fontId="23" fillId="0" borderId="17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23" fillId="0" borderId="32" xfId="0" applyFont="1" applyBorder="1"/>
    <xf numFmtId="0" fontId="13" fillId="7" borderId="16" xfId="0" applyFont="1" applyFill="1" applyBorder="1" applyAlignment="1">
      <alignment horizontal="center" wrapText="1"/>
    </xf>
    <xf numFmtId="9" fontId="0" fillId="0" borderId="0" xfId="0" applyNumberFormat="1"/>
    <xf numFmtId="0" fontId="0" fillId="18" borderId="16" xfId="0" applyFill="1" applyBorder="1"/>
    <xf numFmtId="0" fontId="0" fillId="9" borderId="16" xfId="0" applyFill="1" applyBorder="1"/>
    <xf numFmtId="0" fontId="0" fillId="10" borderId="16" xfId="0" applyFill="1" applyBorder="1"/>
    <xf numFmtId="0" fontId="1" fillId="0" borderId="7" xfId="0" applyFont="1" applyBorder="1"/>
    <xf numFmtId="0" fontId="6" fillId="0" borderId="32" xfId="0" applyFont="1" applyBorder="1"/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right"/>
    </xf>
    <xf numFmtId="0" fontId="24" fillId="0" borderId="0" xfId="0" applyFont="1"/>
    <xf numFmtId="0" fontId="1" fillId="0" borderId="0" xfId="0" applyFont="1" applyAlignment="1">
      <alignment horizontal="center"/>
    </xf>
    <xf numFmtId="0" fontId="0" fillId="9" borderId="17" xfId="0" applyFill="1" applyBorder="1"/>
    <xf numFmtId="0" fontId="0" fillId="9" borderId="19" xfId="0" applyFill="1" applyBorder="1"/>
    <xf numFmtId="0" fontId="0" fillId="9" borderId="20" xfId="0" applyFill="1" applyBorder="1"/>
    <xf numFmtId="0" fontId="0" fillId="10" borderId="19" xfId="0" applyFill="1" applyBorder="1"/>
    <xf numFmtId="0" fontId="0" fillId="18" borderId="9" xfId="0" applyFill="1" applyBorder="1"/>
    <xf numFmtId="0" fontId="0" fillId="18" borderId="35" xfId="0" applyFill="1" applyBorder="1"/>
    <xf numFmtId="0" fontId="16" fillId="0" borderId="22" xfId="0" applyFont="1" applyBorder="1"/>
    <xf numFmtId="0" fontId="5" fillId="0" borderId="0" xfId="0" applyFont="1" applyAlignment="1">
      <alignment vertical="center" wrapText="1"/>
    </xf>
    <xf numFmtId="0" fontId="0" fillId="2" borderId="0" xfId="0" applyFill="1"/>
    <xf numFmtId="0" fontId="1" fillId="9" borderId="25" xfId="0" applyFont="1" applyFill="1" applyBorder="1"/>
    <xf numFmtId="0" fontId="1" fillId="0" borderId="13" xfId="0" applyFont="1" applyBorder="1"/>
    <xf numFmtId="0" fontId="23" fillId="0" borderId="13" xfId="0" applyFont="1" applyBorder="1" applyAlignment="1">
      <alignment vertical="top"/>
    </xf>
    <xf numFmtId="0" fontId="6" fillId="0" borderId="16" xfId="0" applyFont="1" applyBorder="1" applyAlignment="1">
      <alignment horizontal="left" vertical="top"/>
    </xf>
    <xf numFmtId="0" fontId="1" fillId="0" borderId="9" xfId="0" applyFont="1" applyBorder="1"/>
    <xf numFmtId="0" fontId="1" fillId="0" borderId="33" xfId="0" applyFont="1" applyBorder="1"/>
    <xf numFmtId="0" fontId="0" fillId="0" borderId="20" xfId="0" applyBorder="1"/>
    <xf numFmtId="0" fontId="21" fillId="0" borderId="22" xfId="0" applyFont="1" applyBorder="1"/>
    <xf numFmtId="0" fontId="21" fillId="0" borderId="23" xfId="0" applyFont="1" applyBorder="1"/>
    <xf numFmtId="0" fontId="22" fillId="0" borderId="36" xfId="0" applyFont="1" applyBorder="1"/>
    <xf numFmtId="0" fontId="0" fillId="9" borderId="25" xfId="0" applyFill="1" applyBorder="1"/>
    <xf numFmtId="0" fontId="0" fillId="18" borderId="19" xfId="0" applyFill="1" applyBorder="1"/>
    <xf numFmtId="0" fontId="0" fillId="18" borderId="25" xfId="0" applyFill="1" applyBorder="1"/>
    <xf numFmtId="0" fontId="1" fillId="19" borderId="22" xfId="0" applyFont="1" applyFill="1" applyBorder="1"/>
    <xf numFmtId="0" fontId="6" fillId="19" borderId="32" xfId="0" applyFont="1" applyFill="1" applyBorder="1" applyAlignment="1">
      <alignment vertical="top"/>
    </xf>
    <xf numFmtId="0" fontId="1" fillId="19" borderId="19" xfId="0" applyFont="1" applyFill="1" applyBorder="1"/>
    <xf numFmtId="0" fontId="1" fillId="19" borderId="32" xfId="0" applyFont="1" applyFill="1" applyBorder="1" applyAlignment="1">
      <alignment vertical="top"/>
    </xf>
    <xf numFmtId="0" fontId="1" fillId="19" borderId="32" xfId="0" applyFont="1" applyFill="1" applyBorder="1"/>
    <xf numFmtId="0" fontId="0" fillId="19" borderId="22" xfId="0" applyFill="1" applyBorder="1"/>
    <xf numFmtId="0" fontId="0" fillId="19" borderId="0" xfId="0" applyFill="1"/>
    <xf numFmtId="0" fontId="0" fillId="19" borderId="3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9" borderId="32" xfId="0" applyFill="1" applyBorder="1" applyAlignment="1">
      <alignment vertical="top"/>
    </xf>
    <xf numFmtId="0" fontId="12" fillId="14" borderId="26" xfId="0" applyFont="1" applyFill="1" applyBorder="1" applyAlignment="1">
      <alignment horizontal="center"/>
    </xf>
    <xf numFmtId="0" fontId="5" fillId="0" borderId="17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5" fillId="8" borderId="17" xfId="0" applyFont="1" applyFill="1" applyBorder="1" applyAlignment="1">
      <alignment horizontal="left" vertical="top"/>
    </xf>
    <xf numFmtId="0" fontId="5" fillId="8" borderId="13" xfId="0" applyFont="1" applyFill="1" applyBorder="1" applyAlignment="1">
      <alignment horizontal="left" vertical="top"/>
    </xf>
    <xf numFmtId="0" fontId="5" fillId="8" borderId="18" xfId="0" applyFont="1" applyFill="1" applyBorder="1" applyAlignment="1">
      <alignment horizontal="left" vertical="top"/>
    </xf>
    <xf numFmtId="0" fontId="14" fillId="0" borderId="23" xfId="0" applyFont="1" applyBorder="1" applyAlignment="1">
      <alignment horizontal="left" vertical="top"/>
    </xf>
    <xf numFmtId="0" fontId="14" fillId="0" borderId="10" xfId="0" applyFont="1" applyBorder="1" applyAlignment="1">
      <alignment horizontal="left" vertical="top"/>
    </xf>
    <xf numFmtId="0" fontId="14" fillId="0" borderId="24" xfId="0" applyFon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26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14" fillId="0" borderId="17" xfId="0" applyFont="1" applyBorder="1" applyAlignment="1">
      <alignment horizontal="left" vertical="top"/>
    </xf>
    <xf numFmtId="0" fontId="14" fillId="0" borderId="13" xfId="0" applyFont="1" applyBorder="1" applyAlignment="1">
      <alignment horizontal="left" vertical="top"/>
    </xf>
    <xf numFmtId="0" fontId="14" fillId="0" borderId="18" xfId="0" applyFont="1" applyBorder="1" applyAlignment="1">
      <alignment horizontal="left" vertical="top"/>
    </xf>
    <xf numFmtId="0" fontId="13" fillId="7" borderId="22" xfId="0" applyFont="1" applyFill="1" applyBorder="1" applyAlignment="1">
      <alignment horizontal="center"/>
    </xf>
    <xf numFmtId="0" fontId="13" fillId="7" borderId="23" xfId="0" applyFont="1" applyFill="1" applyBorder="1" applyAlignment="1">
      <alignment horizontal="center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3" fillId="7" borderId="16" xfId="0" applyFont="1" applyFill="1" applyBorder="1" applyAlignment="1">
      <alignment horizontal="center"/>
    </xf>
    <xf numFmtId="0" fontId="13" fillId="7" borderId="19" xfId="0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2" fillId="16" borderId="32" xfId="0" applyFont="1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52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36</xdr:row>
      <xdr:rowOff>9525</xdr:rowOff>
    </xdr:from>
    <xdr:to>
      <xdr:col>9</xdr:col>
      <xdr:colOff>276225</xdr:colOff>
      <xdr:row>64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9634A-6858-412D-901D-E259A909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6715125"/>
          <a:ext cx="9239250" cy="5095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ctoryreality.sharepoint.com/sites/FR-IZLeadership/Shared%20Documents/General/02%20-%20Company%20Based/Sales/2025/2023%20vs%202024%20w%202025%20Projected.xlsx" TargetMode="External"/><Relationship Id="rId1" Type="http://schemas.openxmlformats.org/officeDocument/2006/relationships/externalLinkPath" Target="https://factoryreality.sharepoint.com/sites/FR-IZLeadership/Shared%20Documents/General/02%20-%20Company%20Based/Sales/2025/2023%20vs%202024%20w%202025%20Proj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XPQVF6qDbUiwnwj4ABPhC0QGZRwvnc1Gjz7plgbdmk-ZSLA1nHBVSaE2w8edlwLr" itemId="01FX4OWWB3B6OFJZGX2JBKBZ5RKJEUIWRD">
      <xxl21:absoluteUrl r:id="rId2"/>
    </xxl21:alternateUrls>
    <sheetNames>
      <sheetName val="Live Projection 2025"/>
      <sheetName val="2025 Actual vs Projection"/>
      <sheetName val="Sheet1"/>
      <sheetName val="Beg of 2025 Projection"/>
    </sheetNames>
    <sheetDataSet>
      <sheetData sheetId="0">
        <row r="20">
          <cell r="H20">
            <v>765000</v>
          </cell>
        </row>
        <row r="21">
          <cell r="H21">
            <v>382500</v>
          </cell>
        </row>
        <row r="22">
          <cell r="H22">
            <v>191250</v>
          </cell>
        </row>
        <row r="23">
          <cell r="H23">
            <v>212500</v>
          </cell>
        </row>
        <row r="24">
          <cell r="H24">
            <v>233750</v>
          </cell>
        </row>
        <row r="25">
          <cell r="H25">
            <v>127500</v>
          </cell>
        </row>
        <row r="26">
          <cell r="H26">
            <v>106250</v>
          </cell>
        </row>
        <row r="27">
          <cell r="H27">
            <v>59500</v>
          </cell>
        </row>
        <row r="28">
          <cell r="H28">
            <v>722500</v>
          </cell>
        </row>
        <row r="29">
          <cell r="H29">
            <v>63750</v>
          </cell>
        </row>
      </sheetData>
      <sheetData sheetId="1"/>
      <sheetData sheetId="2"/>
      <sheetData sheetId="3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John Mickey" id="{35191540-0159-4E00-888A-7094CFFB0C13}" userId="john@trelity.com" providerId="PeoplePicker"/>
  <person displayName="Jason Fifarek, PE" id="{CED9E7CD-40F8-4731-B37A-B2A198A30D44}" userId="S::jason@trelity.com::57437024-7ab1-481f-8a6c-33ca9d82b6c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727084-9E38-4F86-87FF-5010589858AF}" name="Table4" displayName="Table4" ref="A1:AI35" totalsRowShown="0" headerRowDxfId="524" dataDxfId="523" tableBorderDxfId="522">
  <autoFilter ref="A1:AI35" xr:uid="{74727084-9E38-4F86-87FF-5010589858AF}"/>
  <sortState xmlns:xlrd2="http://schemas.microsoft.com/office/spreadsheetml/2017/richdata2" ref="A2:J35">
    <sortCondition descending="1" ref="I1:I35"/>
  </sortState>
  <tableColumns count="35">
    <tableColumn id="1" xr3:uid="{BF748686-DAE4-4E7A-8272-E6968BE56B9B}" name="Firm Name" dataDxfId="521"/>
    <tableColumn id="2" xr3:uid="{113DBF61-7080-45EA-A8FF-218B6EC728AC}" name="Retail Revenue" dataDxfId="520"/>
    <tableColumn id="3" xr3:uid="{B433C75A-DA23-49E0-90CD-43D8D1DC0A13}" name="Rest. Revenue" dataDxfId="519"/>
    <tableColumn id="4" xr3:uid="{ADF7F41C-4BA4-416F-9574-3DB240765E3D}" name="Multifamily Revenue" dataDxfId="518" dataCellStyle="Currency"/>
    <tableColumn id="5" xr3:uid="{89D0E602-0167-4EDF-9EB5-E4BB7EA24A80}" name="Industrial Revenue" dataDxfId="517"/>
    <tableColumn id="6" xr3:uid="{9CCD242E-0525-483A-9F52-5400B4B19832}" name="Data Center Revenue" dataDxfId="516"/>
    <tableColumn id="7" xr3:uid="{0BA65847-A7E4-45A0-A8C5-C92E7359CB13}" name="Hospitality Revenue" dataDxfId="515"/>
    <tableColumn id="8" xr3:uid="{25F80407-6F9D-4CB3-B608-846E5C024ACE}" name="Total Relevant Revenue" dataDxfId="514" dataCellStyle="Currency"/>
    <tableColumn id="9" xr3:uid="{1CDF030F-A927-497E-B7C3-1480008C28C4}" name="LI Employees" dataDxfId="513"/>
    <tableColumn id="10" xr3:uid="{36C3E021-7AE6-45FE-B622-C45D2F98EEEC}" name="Data Source" dataDxfId="512"/>
    <tableColumn id="11" xr3:uid="{0441DA9C-929F-4384-B251-033228F4E0C8}" name="C1 Name" dataDxfId="511"/>
    <tableColumn id="12" xr3:uid="{5261AD8A-56BE-4B4A-BB02-00B0CE3504F9}" name="C1 Title" dataDxfId="510"/>
    <tableColumn id="13" xr3:uid="{21AE933C-1C63-4034-BC4D-637D35A1C42F}" name="C1 Email" dataDxfId="509"/>
    <tableColumn id="15" xr3:uid="{A94D6501-FBBB-4762-AB01-F332D59F2194}" name="C1 Phone" dataDxfId="508"/>
    <tableColumn id="14" xr3:uid="{81345E1F-17AC-4FA2-B3F0-3EA78A451FA3}" name="C1 Office Address" dataDxfId="507"/>
    <tableColumn id="16" xr3:uid="{F691410F-AD78-4BD4-9E77-166AB0A561A2}" name="C2 Name" dataDxfId="506"/>
    <tableColumn id="17" xr3:uid="{CCADC78E-DF4C-4366-980B-417C7D38F794}" name="C2 Title" dataDxfId="505"/>
    <tableColumn id="18" xr3:uid="{E4D7E7CC-8298-41C7-B406-F8460DF2887F}" name="C2 Email" dataDxfId="504"/>
    <tableColumn id="19" xr3:uid="{31F9D1ED-95DC-4A15-8194-E9635F8DB57A}" name="C2 Phone" dataDxfId="503"/>
    <tableColumn id="20" xr3:uid="{43C44F67-D38C-46EF-8DC5-BF0853D8739E}" name="C2 Office Address" dataDxfId="502"/>
    <tableColumn id="21" xr3:uid="{55C5E751-972F-4E61-9293-0205D823A02B}" name="C3 Name" dataDxfId="501"/>
    <tableColumn id="22" xr3:uid="{757E6376-335A-42AD-8E7C-C886AFCA7478}" name="C3 Title" dataDxfId="500"/>
    <tableColumn id="23" xr3:uid="{24E9182C-477C-4F7D-9A8C-29303145F520}" name="C3 Email" dataDxfId="499"/>
    <tableColumn id="24" xr3:uid="{C9094928-3275-4F42-AEA7-C64017E98D33}" name="C3 Phone" dataDxfId="498"/>
    <tableColumn id="25" xr3:uid="{60488C03-36F1-4962-BD69-F24B2B63E3F5}" name="C3 Office Address" dataDxfId="497"/>
    <tableColumn id="26" xr3:uid="{60462B34-C243-4DE3-8ED6-3F657844E588}" name="C4 Name" dataDxfId="496"/>
    <tableColumn id="27" xr3:uid="{7284B1DE-AFD4-486C-AB36-25080DE1FE98}" name="C4 Title" dataDxfId="495"/>
    <tableColumn id="28" xr3:uid="{F5950147-3C0A-41FC-9762-A2436A2D252E}" name="C4 Email" dataDxfId="494"/>
    <tableColumn id="29" xr3:uid="{A3D8F7C7-6990-477A-A058-B7E4216DAF18}" name="C4 Phone" dataDxfId="493"/>
    <tableColumn id="30" xr3:uid="{61AB17C7-608A-4CBC-AC63-0261425C3FDA}" name="C4 Office Address" dataDxfId="492"/>
    <tableColumn id="31" xr3:uid="{A6ABB591-545C-4350-9F1A-BAD92AF31F62}" name="C5 Name" dataDxfId="491"/>
    <tableColumn id="32" xr3:uid="{11B72E74-193E-46DE-9807-819ECB3CDB18}" name="C5 Title" dataDxfId="490"/>
    <tableColumn id="33" xr3:uid="{9402CD44-C072-413E-BC1D-6557DDADA18F}" name="C5 Email" dataDxfId="489"/>
    <tableColumn id="34" xr3:uid="{5112A4A5-07ED-467B-89BB-020F29703134}" name="C5 Phone" dataDxfId="488"/>
    <tableColumn id="35" xr3:uid="{58E5D904-1341-4AB4-9BB2-68D04D322381}" name="C5 Office Address" dataDxfId="48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D1137C-8CFD-4A2C-942F-A2C5CD6D3F47}" name="Table3" displayName="Table3" ref="A1:J73" totalsRowShown="0" headerRowDxfId="486" dataDxfId="485" tableBorderDxfId="484">
  <autoFilter ref="A1:J73" xr:uid="{B8D1137C-8CFD-4A2C-942F-A2C5CD6D3F47}"/>
  <sortState xmlns:xlrd2="http://schemas.microsoft.com/office/spreadsheetml/2017/richdata2" ref="A2:J73">
    <sortCondition descending="1" ref="I1:I73"/>
  </sortState>
  <tableColumns count="10">
    <tableColumn id="1" xr3:uid="{932AA696-7D0F-4F40-ACCC-F5F7CD2754AE}" name="Firm Name" dataDxfId="483"/>
    <tableColumn id="2" xr3:uid="{99DAD2FD-394D-4401-A6A1-C53056B4AC56}" name="Retail Revenue" dataDxfId="482"/>
    <tableColumn id="3" xr3:uid="{FD3952D4-57EB-41BD-879A-04F129BBBF74}" name="Rest. Revenue" dataDxfId="481"/>
    <tableColumn id="4" xr3:uid="{57A32EE0-1B14-4239-8D68-BA2EBC491281}" name="Multifamily Revenue" dataDxfId="480"/>
    <tableColumn id="5" xr3:uid="{A61FEE8F-EDE6-4375-8FDD-49F5C1E8EF4B}" name="Industrial Revenue" dataDxfId="479"/>
    <tableColumn id="6" xr3:uid="{8A7134C4-280A-45F7-B425-909ED89F34FD}" name="Data Center Revenue" dataDxfId="478"/>
    <tableColumn id="7" xr3:uid="{FFCA3680-AC56-41D9-8CEA-B6C874D7AF88}" name="Hospitality Revenue" dataDxfId="477"/>
    <tableColumn id="8" xr3:uid="{8BED333F-F8F4-4D5A-AD21-652BCB0BA863}" name="Total Relevant Revenue" dataDxfId="476" dataCellStyle="Currency"/>
    <tableColumn id="9" xr3:uid="{5F8829FA-9085-4D34-83F9-8E97DBE03D7A}" name="LI Employees" dataDxfId="475"/>
    <tableColumn id="10" xr3:uid="{EA4D387C-31E6-4ECD-BA2F-861FCE28FD3E}" name="Data Source" dataDxfId="4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B5FBFF-B0A1-4977-90C4-0833442FF3B5}" name="Table2" displayName="Table2" ref="A1:J15" totalsRowShown="0" headerRowDxfId="473" headerRowBorderDxfId="472" tableBorderDxfId="471">
  <autoFilter ref="A1:J15" xr:uid="{B1B5FBFF-B0A1-4977-90C4-0833442FF3B5}"/>
  <tableColumns count="10">
    <tableColumn id="1" xr3:uid="{06B59942-D926-45A7-8AAA-06491AD8081B}" name="Firm Name" dataDxfId="470"/>
    <tableColumn id="2" xr3:uid="{A5ECA127-BF90-4C4F-A37E-2491011849D7}" name="Retail Revenue"/>
    <tableColumn id="3" xr3:uid="{EC80F198-5CD4-4DF8-880D-5315798BF280}" name="Rest. Revenue"/>
    <tableColumn id="4" xr3:uid="{BEEE1337-B7CB-4A5A-8748-FDF575E5C7B9}" name="Multifamily Revenue"/>
    <tableColumn id="5" xr3:uid="{F30263C2-138F-47BC-A549-F7E3F36230B2}" name="Industrial Revenue"/>
    <tableColumn id="6" xr3:uid="{02587688-22AA-4E19-ACFF-37178F117323}" name="Data Center Revenue"/>
    <tableColumn id="7" xr3:uid="{DFBAA22F-BFA8-4F08-BFB2-67ACA23D3778}" name="Hospitality Revenue" dataDxfId="469" dataCellStyle="Currency"/>
    <tableColumn id="8" xr3:uid="{884DDA97-5E30-44D1-928A-83DE1972B4B7}" name="Total Relevant Revenue" dataDxfId="468" dataCellStyle="Currency"/>
    <tableColumn id="9" xr3:uid="{8A0217F3-E63E-490A-ABA0-A2375663E572}" name="LI Employees" dataDxfId="467"/>
    <tableColumn id="10" xr3:uid="{32DD1C4D-5115-4C7F-AD1D-C6591197F9C0}" name="Data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1B13C-3FB3-458B-96B1-40A7A1F26C7D}" name="Table1" displayName="Table1" ref="A1:W170" totalsRowShown="0" headerRowDxfId="466">
  <autoFilter ref="A1:W170" xr:uid="{E371B13C-3FB3-458B-96B1-40A7A1F26C7D}"/>
  <sortState xmlns:xlrd2="http://schemas.microsoft.com/office/spreadsheetml/2017/richdata2" ref="A2:W170">
    <sortCondition descending="1" ref="B1:B170"/>
  </sortState>
  <tableColumns count="23">
    <tableColumn id="1" xr3:uid="{470CBA33-072E-4361-8FE1-0A4701D411DA}" name="Company"/>
    <tableColumn id="22" xr3:uid="{E3141911-6F49-4C37-B69A-72ECA071F9CD}" name="Score" dataDxfId="465">
      <calculatedColumnFormula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calculatedColumnFormula>
    </tableColumn>
    <tableColumn id="21" xr3:uid="{301A6D44-C0E7-4B11-BCD3-857D71E0B63E}" name="Status"/>
    <tableColumn id="2" xr3:uid="{ACE849CF-A009-4BAC-8625-9DB9620FDB8F}" name="CIV" dataDxfId="464"/>
    <tableColumn id="3" xr3:uid="{64BAEB5C-10D0-431B-8BE3-92DCFD883319}" name="ARC" dataDxfId="463"/>
    <tableColumn id="4" xr3:uid="{18D15F05-AE49-425D-BC99-E0154446EE9E}" name="STR" dataDxfId="462"/>
    <tableColumn id="5" xr3:uid="{09907560-13AA-4D01-A825-ECECE773F406}" name="MP" dataDxfId="461"/>
    <tableColumn id="6" xr3:uid="{1C3731C0-0710-4A28-AA7B-4CF3F185802C}" name="ELE" dataDxfId="460"/>
    <tableColumn id="7" xr3:uid="{10DF3A6F-14D1-42FD-8969-719D729C88E5}" name="FP" dataDxfId="459"/>
    <tableColumn id="29" xr3:uid="{4DDB5E9A-1915-48B9-809E-2DF50E8D90E6}" name="Column6" dataDxfId="458">
      <calculatedColumnFormula>IF(Table1[[#This Row],[CIV]]="⮽",0,1)*1.5</calculatedColumnFormula>
    </tableColumn>
    <tableColumn id="28" xr3:uid="{BD37EDFD-D6DB-46BD-AC4D-1A6FC059942C}" name="Column5" dataDxfId="457">
      <calculatedColumnFormula>IF(Table1[[#This Row],[ARC]]="⮽",0,1)*3</calculatedColumnFormula>
    </tableColumn>
    <tableColumn id="27" xr3:uid="{7D35CD1E-A141-4A18-9631-75B4C1BD7523}" name="Column4" dataDxfId="456">
      <calculatedColumnFormula>IF(Table1[[#This Row],[STR]]="⮽",0,1)*2</calculatedColumnFormula>
    </tableColumn>
    <tableColumn id="26" xr3:uid="{AEFAAB4E-B897-4763-A38D-81577F4F61BE}" name="Column3" dataDxfId="455">
      <calculatedColumnFormula>IF(Table1[[#This Row],[MP]]="⮽",0,1)</calculatedColumnFormula>
    </tableColumn>
    <tableColumn id="25" xr3:uid="{D49289E8-67E8-45EA-A501-C50EDF1066BC}" name="Column2" dataDxfId="454">
      <calculatedColumnFormula>IF(Table1[[#This Row],[ELE]]="⮽",0,1)</calculatedColumnFormula>
    </tableColumn>
    <tableColumn id="24" xr3:uid="{0B916FA3-3DA7-4977-BCB5-AA6E84B34813}" name="Column1" dataDxfId="453">
      <calculatedColumnFormula>IF(Table1[[#This Row],[FP]]="⮽",0,1)</calculatedColumnFormula>
    </tableColumn>
    <tableColumn id="8" xr3:uid="{C12EBC67-5B7E-4BF3-B3FC-00363220A37F}" name="Mkt Fit (1-3)"/>
    <tableColumn id="9" xr3:uid="{87DC1534-6125-493D-8F69-4B697703C230}" name="Size (S, M, L)"/>
    <tableColumn id="30" xr3:uid="{21A29931-5E12-46AE-B061-931BA9BB7139}" name="Column7" dataDxfId="452">
      <calculatedColumnFormula>IF(Table1[[#This Row],[Size (S, M, L)]]="S",2,IF(Table1[[#This Row],[Size (S, M, L)]]="L",1,4))</calculatedColumnFormula>
    </tableColumn>
    <tableColumn id="10" xr3:uid="{EDA49E9F-E840-4725-A079-3557E43EF60A}" name="TZone"/>
    <tableColumn id="31" xr3:uid="{01C6DF8C-49EB-4590-ACD5-2FB1E126AF51}" name="Column8" dataDxfId="451">
      <calculatedColumnFormula>IF(Table1[[#This Row],[TZone]]="EST",4,IF(Table1[[#This Row],[TZone]]="CST",3,IF(Table1[[#This Row],[TZone]]="MST",2,1)))</calculatedColumnFormula>
    </tableColumn>
    <tableColumn id="23" xr3:uid="{79F2EB9B-1617-4274-B993-FF17D8E7CE3D}" name="Low-cost office?"/>
    <tableColumn id="32" xr3:uid="{75EF97C9-2472-47ED-A29F-6D187510FAB0}" name="Column9" dataDxfId="450">
      <calculatedColumnFormula>IF(Table1[[#This Row],[Low-cost office?]]="Yes",-4,0)</calculatedColumnFormula>
    </tableColumn>
    <tableColumn id="11" xr3:uid="{A6F59E02-0F19-49B5-B467-34436B927DB1}" name="Using Competitor?" dataDxfId="44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92DCF7-846F-4022-925B-4A0DE6EE1EE6}" name="Table16" displayName="Table16" ref="A1:X166" totalsRowShown="0" headerRowDxfId="448">
  <autoFilter ref="A1:X166" xr:uid="{3692DCF7-846F-4022-925B-4A0DE6EE1EE6}"/>
  <sortState xmlns:xlrd2="http://schemas.microsoft.com/office/spreadsheetml/2017/richdata2" ref="A2:X166">
    <sortCondition descending="1" ref="B1:B166"/>
  </sortState>
  <tableColumns count="24">
    <tableColumn id="1" xr3:uid="{8AC02A7C-1AEF-4485-84C7-7490F8390D4B}" name="Company"/>
    <tableColumn id="22" xr3:uid="{BA4B480A-C162-479B-9093-066455F4D0B1}" name="Score" dataDxfId="447">
      <calculatedColumnFormula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calculatedColumnFormula>
    </tableColumn>
    <tableColumn id="21" xr3:uid="{3A401B01-DA68-4151-9756-356F7FA9DCB2}" name="Status"/>
    <tableColumn id="2" xr3:uid="{8CCDF152-C38C-437C-9716-E250E82EA689}" name="CIV" dataDxfId="446"/>
    <tableColumn id="3" xr3:uid="{37D9F7DE-0FC9-4520-9FCF-120284D3A795}" name="ARC" dataDxfId="445"/>
    <tableColumn id="4" xr3:uid="{86DACA83-0038-479B-AC94-D522A0CD6939}" name="STR" dataDxfId="444"/>
    <tableColumn id="5" xr3:uid="{F49691A1-46EF-40B0-83B3-1D55BB9A2236}" name="MP" dataDxfId="443"/>
    <tableColumn id="6" xr3:uid="{956EB354-FD9C-4931-8B82-D6E779AB9DA9}" name="ELE" dataDxfId="442"/>
    <tableColumn id="7" xr3:uid="{AAA9EB85-58C7-4158-9E80-E2D60ACFCB13}" name="FP" dataDxfId="441"/>
    <tableColumn id="29" xr3:uid="{3F9B57DC-8560-44D4-9AFB-56DFFA590540}" name="Column6" dataDxfId="440">
      <calculatedColumnFormula>IF(Table1[[#This Row],[CIV]]="⮽",0,1)*1.5</calculatedColumnFormula>
    </tableColumn>
    <tableColumn id="28" xr3:uid="{983C928D-4D9D-4E9E-A534-EE9547B62AC7}" name="Column5" dataDxfId="439">
      <calculatedColumnFormula>IF(Table1[[#This Row],[ARC]]="⮽",0,1)*3</calculatedColumnFormula>
    </tableColumn>
    <tableColumn id="27" xr3:uid="{01905D6E-5184-4789-9ADE-250085159815}" name="Column4" dataDxfId="438">
      <calculatedColumnFormula>IF(Table1[[#This Row],[STR]]="⮽",0,1)*2</calculatedColumnFormula>
    </tableColumn>
    <tableColumn id="26" xr3:uid="{BE55E698-8A19-48C9-8CB9-118D5B12068E}" name="Column3" dataDxfId="437">
      <calculatedColumnFormula>IF(Table1[[#This Row],[MP]]="⮽",0,1)</calculatedColumnFormula>
    </tableColumn>
    <tableColumn id="25" xr3:uid="{1C1A2CA7-4ECB-469E-A66F-D8186423F5D3}" name="Column2" dataDxfId="436">
      <calculatedColumnFormula>IF(Table1[[#This Row],[ELE]]="⮽",0,1)</calculatedColumnFormula>
    </tableColumn>
    <tableColumn id="24" xr3:uid="{F7F91964-357D-4410-9DF8-7F11815B68FA}" name="Column1" dataDxfId="435">
      <calculatedColumnFormula>IF(Table1[[#This Row],[FP]]="⮽",0,1)</calculatedColumnFormula>
    </tableColumn>
    <tableColumn id="8" xr3:uid="{9B4DA213-AB16-4655-9596-9BDF158A0494}" name="Mkt Fit (1-3)"/>
    <tableColumn id="9" xr3:uid="{25ACB28E-FCF3-4863-A76E-2C8F738ED762}" name="Size (S, M, L)"/>
    <tableColumn id="30" xr3:uid="{FD5A21A8-095E-4AFD-ABE2-3731215130A8}" name="Column7" dataDxfId="434">
      <calculatedColumnFormula>IF(Table1[[#This Row],[Size (S, M, L)]]="S",2,IF(Table1[[#This Row],[Size (S, M, L)]]="L",1,4))</calculatedColumnFormula>
    </tableColumn>
    <tableColumn id="10" xr3:uid="{96D26C8C-C930-4235-B82C-7E0E04FC923E}" name="TZone"/>
    <tableColumn id="31" xr3:uid="{BAAE5E55-9280-40F5-96DF-1488AF2F56C7}" name="Column8" dataDxfId="433">
      <calculatedColumnFormula>IF(Table1[[#This Row],[TZone]]="EST",4,IF(Table1[[#This Row],[TZone]]="CST",3,IF(Table1[[#This Row],[TZone]]="MST",2,1)))</calculatedColumnFormula>
    </tableColumn>
    <tableColumn id="23" xr3:uid="{7BFF5905-A533-44C4-8784-596991DE1DF7}" name="Low-cost office?"/>
    <tableColumn id="32" xr3:uid="{36869234-7F90-48E3-A7BB-C7B5B37AEBC3}" name="Column9" dataDxfId="432">
      <calculatedColumnFormula>IF(Table1[[#This Row],[Low-cost office?]]="Yes",-4,0)</calculatedColumnFormula>
    </tableColumn>
    <tableColumn id="11" xr3:uid="{6DC18B07-B03D-4CEE-B72F-6FDF5E9881D6}" name="Using Competitor?" dataDxfId="431"/>
    <tableColumn id="12" xr3:uid="{5F0F957E-6FEC-483F-A4B8-88BD58B08726}" name="Attended in 2024" dataDxfId="43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6-06T19:42:35.23" personId="{CED9E7CD-40F8-4731-B37A-B2A198A30D44}" id="{D10FF5DA-3358-4D7F-8EE9-379E2CAFC24E}">
    <text xml:space="preserve">@John Mickey   Lets talk through these questions and the tab "2025 Client List" while on our trip. 
</text>
    <mentions>
      <mention mentionpersonId="{35191540-0159-4E00-888A-7094CFFB0C13}" mentionId="{F7382B2D-C3EC-4454-803C-CE113D2CC7B9}" startIndex="0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jonathan.hughes@norr.com" TargetMode="External"/><Relationship Id="rId1" Type="http://schemas.openxmlformats.org/officeDocument/2006/relationships/hyperlink" Target="tel:416%20944%207837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B2CA-2B7A-4A3F-B1A2-BE1249A19D8A}">
  <dimension ref="A1:AI35"/>
  <sheetViews>
    <sheetView zoomScale="160" workbookViewId="0">
      <selection activeCell="A15" sqref="A15"/>
    </sheetView>
  </sheetViews>
  <sheetFormatPr defaultColWidth="8.83984375" defaultRowHeight="14.4" x14ac:dyDescent="0.55000000000000004"/>
  <cols>
    <col min="1" max="1" width="36" bestFit="1" customWidth="1"/>
    <col min="2" max="3" width="12.15625" bestFit="1" customWidth="1"/>
    <col min="4" max="4" width="12.83984375" bestFit="1" customWidth="1"/>
    <col min="5" max="5" width="11.41796875" bestFit="1" customWidth="1"/>
    <col min="6" max="6" width="13.41796875" bestFit="1" customWidth="1"/>
    <col min="7" max="7" width="12.41796875" bestFit="1" customWidth="1"/>
    <col min="8" max="8" width="15.41796875" bestFit="1" customWidth="1"/>
    <col min="9" max="9" width="14.83984375" customWidth="1"/>
    <col min="10" max="10" width="9.26171875" bestFit="1" customWidth="1"/>
    <col min="11" max="11" width="19.15625" bestFit="1" customWidth="1"/>
    <col min="12" max="12" width="48.68359375" bestFit="1" customWidth="1"/>
    <col min="13" max="13" width="23.41796875" bestFit="1" customWidth="1"/>
    <col min="14" max="14" width="11.41796875" bestFit="1" customWidth="1"/>
    <col min="15" max="15" width="44.15625" bestFit="1" customWidth="1"/>
    <col min="16" max="16" width="18.15625" bestFit="1" customWidth="1"/>
    <col min="17" max="17" width="47.83984375" bestFit="1" customWidth="1"/>
    <col min="18" max="18" width="10.41796875" bestFit="1" customWidth="1"/>
    <col min="19" max="19" width="11" bestFit="1" customWidth="1"/>
    <col min="20" max="20" width="10.83984375" bestFit="1" customWidth="1"/>
    <col min="21" max="21" width="21.41796875" bestFit="1" customWidth="1"/>
    <col min="22" max="22" width="42.15625" bestFit="1" customWidth="1"/>
    <col min="23" max="23" width="10.41796875" bestFit="1" customWidth="1"/>
    <col min="24" max="24" width="11" bestFit="1" customWidth="1"/>
    <col min="25" max="25" width="10.83984375" bestFit="1" customWidth="1"/>
    <col min="26" max="26" width="19.15625" bestFit="1" customWidth="1"/>
    <col min="27" max="27" width="50.41796875" bestFit="1" customWidth="1"/>
    <col min="28" max="28" width="10.41796875" bestFit="1" customWidth="1"/>
    <col min="29" max="29" width="11" bestFit="1" customWidth="1"/>
    <col min="30" max="30" width="10.83984375" bestFit="1" customWidth="1"/>
    <col min="31" max="31" width="21.41796875" bestFit="1" customWidth="1"/>
    <col min="32" max="32" width="47.83984375" bestFit="1" customWidth="1"/>
    <col min="33" max="33" width="10.41796875" bestFit="1" customWidth="1"/>
    <col min="34" max="34" width="11" bestFit="1" customWidth="1"/>
    <col min="35" max="35" width="10.83984375" bestFit="1" customWidth="1"/>
  </cols>
  <sheetData>
    <row r="1" spans="1:35" ht="28.8" x14ac:dyDescent="0.5500000000000000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</row>
    <row r="2" spans="1:35" x14ac:dyDescent="0.55000000000000004">
      <c r="A2" s="2" t="s">
        <v>35</v>
      </c>
      <c r="B2" s="8">
        <v>43068568</v>
      </c>
      <c r="C2" s="8">
        <v>11903850</v>
      </c>
      <c r="D2" s="8">
        <v>28972291</v>
      </c>
      <c r="E2" s="8">
        <v>8954881</v>
      </c>
      <c r="F2" s="8"/>
      <c r="G2" s="8">
        <v>4226719</v>
      </c>
      <c r="H2" s="8">
        <v>97126309</v>
      </c>
      <c r="I2" s="2">
        <v>875</v>
      </c>
      <c r="J2" t="s">
        <v>36</v>
      </c>
      <c r="K2" t="s">
        <v>37</v>
      </c>
      <c r="L2" t="s">
        <v>38</v>
      </c>
      <c r="M2" s="13" t="s">
        <v>39</v>
      </c>
      <c r="N2" s="13" t="s">
        <v>40</v>
      </c>
      <c r="O2" t="s">
        <v>41</v>
      </c>
      <c r="P2" t="s">
        <v>42</v>
      </c>
      <c r="Q2" t="s">
        <v>43</v>
      </c>
      <c r="U2" t="s">
        <v>44</v>
      </c>
      <c r="V2" t="s">
        <v>45</v>
      </c>
      <c r="Z2" t="s">
        <v>46</v>
      </c>
      <c r="AA2" t="s">
        <v>47</v>
      </c>
      <c r="AE2" t="s">
        <v>48</v>
      </c>
      <c r="AF2" t="s">
        <v>49</v>
      </c>
    </row>
    <row r="3" spans="1:35" x14ac:dyDescent="0.55000000000000004">
      <c r="A3" s="2" t="s">
        <v>50</v>
      </c>
      <c r="B3" s="8">
        <v>28064000</v>
      </c>
      <c r="C3" s="8">
        <v>14364000</v>
      </c>
      <c r="D3" s="8"/>
      <c r="E3" s="8"/>
      <c r="F3" s="8"/>
      <c r="G3" s="8"/>
      <c r="H3" s="8">
        <v>42428000</v>
      </c>
      <c r="I3" s="2">
        <v>705</v>
      </c>
      <c r="J3" t="s">
        <v>36</v>
      </c>
      <c r="K3" t="s">
        <v>51</v>
      </c>
      <c r="L3" t="s">
        <v>52</v>
      </c>
      <c r="P3" t="s">
        <v>53</v>
      </c>
      <c r="Q3" t="s">
        <v>54</v>
      </c>
      <c r="U3" t="s">
        <v>55</v>
      </c>
      <c r="V3" t="s">
        <v>54</v>
      </c>
      <c r="Z3" t="s">
        <v>56</v>
      </c>
      <c r="AA3" t="s">
        <v>57</v>
      </c>
      <c r="AE3" t="s">
        <v>58</v>
      </c>
      <c r="AF3" t="s">
        <v>59</v>
      </c>
    </row>
    <row r="4" spans="1:35" x14ac:dyDescent="0.55000000000000004">
      <c r="A4" s="2" t="s">
        <v>60</v>
      </c>
      <c r="B4" s="2"/>
      <c r="C4" s="2"/>
      <c r="D4" s="8"/>
      <c r="E4" s="2"/>
      <c r="F4" s="2"/>
      <c r="G4" s="2"/>
      <c r="H4" s="8"/>
      <c r="I4" s="2">
        <v>670</v>
      </c>
      <c r="J4" t="s">
        <v>61</v>
      </c>
      <c r="K4" t="s">
        <v>62</v>
      </c>
      <c r="L4" t="s">
        <v>38</v>
      </c>
      <c r="P4" t="s">
        <v>63</v>
      </c>
      <c r="Q4" t="s">
        <v>64</v>
      </c>
      <c r="U4" t="s">
        <v>65</v>
      </c>
      <c r="V4" t="s">
        <v>66</v>
      </c>
      <c r="Z4" t="s">
        <v>67</v>
      </c>
      <c r="AA4" t="s">
        <v>66</v>
      </c>
      <c r="AE4" t="s">
        <v>68</v>
      </c>
      <c r="AF4" t="s">
        <v>66</v>
      </c>
    </row>
    <row r="5" spans="1:35" x14ac:dyDescent="0.55000000000000004">
      <c r="A5" s="2" t="s">
        <v>69</v>
      </c>
      <c r="B5" s="2"/>
      <c r="C5" s="2"/>
      <c r="D5" s="8"/>
      <c r="E5" s="2"/>
      <c r="F5" s="2"/>
      <c r="G5" s="2"/>
      <c r="H5" s="8"/>
      <c r="I5" s="2">
        <v>629</v>
      </c>
      <c r="J5" t="s">
        <v>61</v>
      </c>
      <c r="K5" t="s">
        <v>70</v>
      </c>
      <c r="L5" t="s">
        <v>38</v>
      </c>
      <c r="P5" t="s">
        <v>71</v>
      </c>
      <c r="Q5" t="s">
        <v>72</v>
      </c>
      <c r="U5" t="s">
        <v>73</v>
      </c>
      <c r="V5" t="s">
        <v>74</v>
      </c>
    </row>
    <row r="6" spans="1:35" x14ac:dyDescent="0.55000000000000004">
      <c r="A6" s="2" t="s">
        <v>75</v>
      </c>
      <c r="B6" s="2"/>
      <c r="C6" s="2"/>
      <c r="D6" s="8">
        <v>5653143</v>
      </c>
      <c r="E6" s="2"/>
      <c r="F6" s="2"/>
      <c r="G6" s="8">
        <v>77924699</v>
      </c>
      <c r="H6" s="8">
        <v>83577842</v>
      </c>
      <c r="I6" s="2">
        <v>577</v>
      </c>
      <c r="J6" t="s">
        <v>36</v>
      </c>
    </row>
    <row r="7" spans="1:35" x14ac:dyDescent="0.55000000000000004">
      <c r="A7" s="2" t="s">
        <v>76</v>
      </c>
      <c r="B7" s="2"/>
      <c r="C7" s="2"/>
      <c r="D7" s="8">
        <v>9426600</v>
      </c>
      <c r="E7" s="8">
        <v>4600000</v>
      </c>
      <c r="F7" s="8">
        <v>20200000</v>
      </c>
      <c r="G7" s="2"/>
      <c r="H7" s="8">
        <v>34226600</v>
      </c>
      <c r="I7" s="2">
        <v>575</v>
      </c>
      <c r="J7" t="s">
        <v>36</v>
      </c>
      <c r="K7" t="s">
        <v>77</v>
      </c>
      <c r="L7" t="s">
        <v>78</v>
      </c>
      <c r="P7" t="s">
        <v>79</v>
      </c>
      <c r="Q7" t="s">
        <v>80</v>
      </c>
      <c r="U7" t="s">
        <v>81</v>
      </c>
      <c r="V7" t="s">
        <v>82</v>
      </c>
    </row>
    <row r="8" spans="1:35" x14ac:dyDescent="0.55000000000000004">
      <c r="A8" s="2" t="s">
        <v>83</v>
      </c>
      <c r="B8" s="8">
        <v>3736599</v>
      </c>
      <c r="C8" s="8"/>
      <c r="D8" s="8">
        <v>16117830</v>
      </c>
      <c r="E8" s="8"/>
      <c r="F8" s="8"/>
      <c r="G8" s="8">
        <v>6742437</v>
      </c>
      <c r="H8" s="8">
        <v>26596866</v>
      </c>
      <c r="I8" s="2">
        <v>514</v>
      </c>
      <c r="J8" t="s">
        <v>36</v>
      </c>
      <c r="K8" t="s">
        <v>84</v>
      </c>
      <c r="L8" t="s">
        <v>85</v>
      </c>
      <c r="P8" t="s">
        <v>86</v>
      </c>
      <c r="Q8" t="s">
        <v>85</v>
      </c>
      <c r="U8" t="s">
        <v>87</v>
      </c>
      <c r="V8" t="s">
        <v>88</v>
      </c>
      <c r="Z8" t="s">
        <v>89</v>
      </c>
      <c r="AA8" t="s">
        <v>88</v>
      </c>
      <c r="AE8" t="s">
        <v>90</v>
      </c>
      <c r="AF8" t="s">
        <v>91</v>
      </c>
    </row>
    <row r="9" spans="1:35" x14ac:dyDescent="0.55000000000000004">
      <c r="A9" s="2" t="s">
        <v>92</v>
      </c>
      <c r="B9" s="8">
        <v>26457330</v>
      </c>
      <c r="C9" s="8"/>
      <c r="D9" s="8">
        <v>6241505</v>
      </c>
      <c r="E9" s="8">
        <v>2391131</v>
      </c>
      <c r="F9" s="8">
        <v>2705244</v>
      </c>
      <c r="G9" s="8"/>
      <c r="H9" s="8">
        <v>37795210</v>
      </c>
      <c r="I9" s="2">
        <v>508</v>
      </c>
      <c r="J9" t="s">
        <v>36</v>
      </c>
      <c r="K9" t="s">
        <v>93</v>
      </c>
      <c r="L9" t="s">
        <v>38</v>
      </c>
      <c r="P9" t="s">
        <v>94</v>
      </c>
      <c r="Q9" t="s">
        <v>95</v>
      </c>
      <c r="U9" t="s">
        <v>96</v>
      </c>
      <c r="V9" t="s">
        <v>97</v>
      </c>
      <c r="Z9" t="s">
        <v>98</v>
      </c>
      <c r="AA9" t="s">
        <v>99</v>
      </c>
      <c r="AE9" t="s">
        <v>100</v>
      </c>
      <c r="AF9" t="s">
        <v>99</v>
      </c>
    </row>
    <row r="10" spans="1:35" x14ac:dyDescent="0.55000000000000004">
      <c r="A10" s="2" t="s">
        <v>101</v>
      </c>
      <c r="B10" s="2"/>
      <c r="C10" s="2"/>
      <c r="D10" s="8"/>
      <c r="E10" s="2"/>
      <c r="F10" s="2"/>
      <c r="G10" s="2"/>
      <c r="H10" s="8"/>
      <c r="I10" s="2">
        <v>500</v>
      </c>
      <c r="J10" t="s">
        <v>61</v>
      </c>
      <c r="K10" t="s">
        <v>102</v>
      </c>
      <c r="L10" t="s">
        <v>38</v>
      </c>
      <c r="P10" t="s">
        <v>103</v>
      </c>
      <c r="Q10" t="s">
        <v>85</v>
      </c>
      <c r="U10" t="s">
        <v>104</v>
      </c>
      <c r="V10" t="s">
        <v>85</v>
      </c>
      <c r="Z10" t="s">
        <v>105</v>
      </c>
      <c r="AA10" t="s">
        <v>85</v>
      </c>
      <c r="AE10" t="s">
        <v>106</v>
      </c>
      <c r="AF10" t="s">
        <v>85</v>
      </c>
    </row>
    <row r="11" spans="1:35" x14ac:dyDescent="0.55000000000000004">
      <c r="A11" s="2" t="s">
        <v>107</v>
      </c>
      <c r="B11" s="8">
        <v>38313224</v>
      </c>
      <c r="C11" s="8"/>
      <c r="D11" s="8">
        <v>4845824</v>
      </c>
      <c r="E11" s="8">
        <v>3022289</v>
      </c>
      <c r="F11" s="8"/>
      <c r="G11" s="8"/>
      <c r="H11" s="8">
        <v>46181337</v>
      </c>
      <c r="I11" s="2">
        <v>498</v>
      </c>
      <c r="J11" t="s">
        <v>36</v>
      </c>
    </row>
    <row r="12" spans="1:35" x14ac:dyDescent="0.55000000000000004">
      <c r="A12" s="2" t="s">
        <v>108</v>
      </c>
      <c r="B12" s="2"/>
      <c r="C12" s="2"/>
      <c r="D12" s="8"/>
      <c r="E12" s="2"/>
      <c r="F12" s="2"/>
      <c r="G12" s="2"/>
      <c r="H12" s="8"/>
      <c r="I12" s="2">
        <v>494</v>
      </c>
      <c r="J12" t="s">
        <v>61</v>
      </c>
      <c r="K12" t="s">
        <v>109</v>
      </c>
      <c r="L12" t="s">
        <v>110</v>
      </c>
      <c r="P12" t="s">
        <v>111</v>
      </c>
      <c r="Q12" t="s">
        <v>112</v>
      </c>
      <c r="U12" t="s">
        <v>113</v>
      </c>
      <c r="V12" t="s">
        <v>112</v>
      </c>
      <c r="Z12" t="s">
        <v>114</v>
      </c>
      <c r="AA12" t="s">
        <v>115</v>
      </c>
      <c r="AE12" t="s">
        <v>116</v>
      </c>
      <c r="AF12" t="s">
        <v>117</v>
      </c>
    </row>
    <row r="13" spans="1:35" x14ac:dyDescent="0.55000000000000004">
      <c r="A13" s="2" t="s">
        <v>118</v>
      </c>
      <c r="B13" s="8">
        <v>5964397</v>
      </c>
      <c r="C13" s="8">
        <v>2586784</v>
      </c>
      <c r="D13" s="8">
        <v>12355944</v>
      </c>
      <c r="E13" s="8">
        <v>7373084</v>
      </c>
      <c r="F13" s="8"/>
      <c r="G13" s="8">
        <v>2798008</v>
      </c>
      <c r="H13" s="8">
        <v>31078217</v>
      </c>
      <c r="I13" s="2">
        <v>488</v>
      </c>
      <c r="J13" t="s">
        <v>36</v>
      </c>
      <c r="K13" t="s">
        <v>119</v>
      </c>
      <c r="L13" t="s">
        <v>38</v>
      </c>
      <c r="P13" t="s">
        <v>120</v>
      </c>
      <c r="Q13" t="s">
        <v>121</v>
      </c>
      <c r="U13" t="s">
        <v>122</v>
      </c>
      <c r="V13" t="s">
        <v>123</v>
      </c>
      <c r="Z13" t="s">
        <v>124</v>
      </c>
      <c r="AA13" t="s">
        <v>125</v>
      </c>
      <c r="AE13" t="s">
        <v>126</v>
      </c>
      <c r="AF13" t="s">
        <v>127</v>
      </c>
    </row>
    <row r="14" spans="1:35" x14ac:dyDescent="0.55000000000000004">
      <c r="A14" s="2" t="s">
        <v>128</v>
      </c>
      <c r="B14" s="2"/>
      <c r="C14" s="2"/>
      <c r="D14" s="8"/>
      <c r="E14" s="2"/>
      <c r="F14" s="2"/>
      <c r="G14" s="2"/>
      <c r="H14" s="8"/>
      <c r="I14" s="2">
        <v>472</v>
      </c>
      <c r="J14" t="s">
        <v>61</v>
      </c>
      <c r="K14" t="s">
        <v>129</v>
      </c>
      <c r="L14" t="s">
        <v>38</v>
      </c>
      <c r="P14" t="s">
        <v>130</v>
      </c>
      <c r="Q14" t="s">
        <v>131</v>
      </c>
      <c r="U14" t="s">
        <v>132</v>
      </c>
      <c r="V14" t="s">
        <v>133</v>
      </c>
    </row>
    <row r="15" spans="1:35" x14ac:dyDescent="0.55000000000000004">
      <c r="A15" s="2" t="s">
        <v>134</v>
      </c>
      <c r="B15" s="8">
        <v>35332000</v>
      </c>
      <c r="C15" s="8">
        <v>1752000</v>
      </c>
      <c r="D15" s="8">
        <v>52485000</v>
      </c>
      <c r="E15" s="8">
        <v>8187000</v>
      </c>
      <c r="F15" s="8">
        <v>1944000</v>
      </c>
      <c r="G15" s="8">
        <v>6903000</v>
      </c>
      <c r="H15" s="8">
        <v>106603000</v>
      </c>
      <c r="I15" s="2">
        <v>446</v>
      </c>
      <c r="J15" t="s">
        <v>36</v>
      </c>
      <c r="P15" t="s">
        <v>135</v>
      </c>
      <c r="Q15" t="s">
        <v>136</v>
      </c>
      <c r="U15" t="s">
        <v>137</v>
      </c>
      <c r="V15" t="s">
        <v>138</v>
      </c>
      <c r="Z15" t="s">
        <v>139</v>
      </c>
      <c r="AA15" t="s">
        <v>138</v>
      </c>
      <c r="AE15" t="s">
        <v>140</v>
      </c>
      <c r="AF15" t="s">
        <v>136</v>
      </c>
    </row>
    <row r="16" spans="1:35" x14ac:dyDescent="0.55000000000000004">
      <c r="A16" s="2" t="s">
        <v>141</v>
      </c>
      <c r="B16" s="8">
        <v>6334173</v>
      </c>
      <c r="C16" s="8"/>
      <c r="D16" s="8">
        <v>13233668</v>
      </c>
      <c r="E16" s="8"/>
      <c r="F16" s="8"/>
      <c r="G16" s="8"/>
      <c r="H16" s="8">
        <v>19567841</v>
      </c>
      <c r="I16" s="2">
        <v>375</v>
      </c>
      <c r="J16" t="s">
        <v>36</v>
      </c>
      <c r="K16" t="s">
        <v>142</v>
      </c>
      <c r="L16" t="s">
        <v>143</v>
      </c>
      <c r="P16" t="s">
        <v>144</v>
      </c>
      <c r="Q16" t="s">
        <v>145</v>
      </c>
      <c r="U16" t="s">
        <v>146</v>
      </c>
      <c r="V16" t="s">
        <v>147</v>
      </c>
      <c r="Z16" t="s">
        <v>148</v>
      </c>
      <c r="AA16" t="s">
        <v>149</v>
      </c>
      <c r="AE16" t="s">
        <v>150</v>
      </c>
      <c r="AF16" t="s">
        <v>151</v>
      </c>
    </row>
    <row r="17" spans="1:32" x14ac:dyDescent="0.55000000000000004">
      <c r="A17" s="2" t="s">
        <v>152</v>
      </c>
      <c r="B17" s="2"/>
      <c r="C17" s="2"/>
      <c r="D17" s="8"/>
      <c r="E17" s="2"/>
      <c r="F17" s="2"/>
      <c r="G17" s="2"/>
      <c r="H17" s="8"/>
      <c r="I17" s="2">
        <v>374</v>
      </c>
      <c r="J17" t="s">
        <v>61</v>
      </c>
      <c r="K17" t="s">
        <v>153</v>
      </c>
      <c r="L17" t="s">
        <v>154</v>
      </c>
      <c r="P17" t="s">
        <v>155</v>
      </c>
      <c r="Q17" t="s">
        <v>156</v>
      </c>
      <c r="U17" t="s">
        <v>157</v>
      </c>
      <c r="V17" t="s">
        <v>158</v>
      </c>
      <c r="Z17" t="s">
        <v>159</v>
      </c>
      <c r="AA17" t="s">
        <v>160</v>
      </c>
      <c r="AE17" t="s">
        <v>161</v>
      </c>
      <c r="AF17" t="s">
        <v>162</v>
      </c>
    </row>
    <row r="18" spans="1:32" x14ac:dyDescent="0.55000000000000004">
      <c r="A18" s="2" t="s">
        <v>163</v>
      </c>
      <c r="B18" s="2"/>
      <c r="C18" s="2"/>
      <c r="D18" s="8">
        <v>26297448</v>
      </c>
      <c r="E18" s="2"/>
      <c r="F18" s="2"/>
      <c r="G18" s="2"/>
      <c r="H18" s="8">
        <v>26297448</v>
      </c>
      <c r="I18" s="2">
        <v>360</v>
      </c>
      <c r="J18" t="s">
        <v>36</v>
      </c>
      <c r="K18" t="s">
        <v>164</v>
      </c>
      <c r="L18" t="s">
        <v>154</v>
      </c>
      <c r="P18" t="s">
        <v>165</v>
      </c>
      <c r="Q18" t="s">
        <v>154</v>
      </c>
      <c r="U18" t="s">
        <v>166</v>
      </c>
      <c r="V18" t="s">
        <v>85</v>
      </c>
    </row>
    <row r="19" spans="1:32" x14ac:dyDescent="0.55000000000000004">
      <c r="A19" s="2" t="s">
        <v>167</v>
      </c>
      <c r="B19" s="2"/>
      <c r="C19" s="2"/>
      <c r="D19" s="8">
        <v>23937000</v>
      </c>
      <c r="E19" s="2"/>
      <c r="F19" s="2"/>
      <c r="G19" s="2"/>
      <c r="H19" s="8">
        <v>23937000</v>
      </c>
      <c r="I19" s="2">
        <v>327</v>
      </c>
      <c r="J19" t="s">
        <v>36</v>
      </c>
      <c r="K19" t="s">
        <v>168</v>
      </c>
      <c r="L19" t="s">
        <v>154</v>
      </c>
      <c r="P19" t="s">
        <v>169</v>
      </c>
      <c r="Q19" t="s">
        <v>154</v>
      </c>
      <c r="U19" t="s">
        <v>170</v>
      </c>
      <c r="V19" t="s">
        <v>154</v>
      </c>
      <c r="Z19" t="s">
        <v>171</v>
      </c>
      <c r="AA19" t="s">
        <v>85</v>
      </c>
      <c r="AE19" t="s">
        <v>172</v>
      </c>
      <c r="AF19" t="s">
        <v>85</v>
      </c>
    </row>
    <row r="20" spans="1:32" x14ac:dyDescent="0.55000000000000004">
      <c r="A20" s="2" t="s">
        <v>173</v>
      </c>
      <c r="B20" s="8">
        <v>9394769</v>
      </c>
      <c r="C20" s="8">
        <v>4625642</v>
      </c>
      <c r="D20" s="8">
        <v>23705448</v>
      </c>
      <c r="E20" s="8"/>
      <c r="F20" s="8">
        <v>1656006</v>
      </c>
      <c r="G20" s="8">
        <v>19400953</v>
      </c>
      <c r="H20" s="8">
        <v>58782818</v>
      </c>
      <c r="I20" s="2">
        <v>316</v>
      </c>
      <c r="J20" t="s">
        <v>36</v>
      </c>
      <c r="K20" t="s">
        <v>174</v>
      </c>
      <c r="L20" t="s">
        <v>175</v>
      </c>
      <c r="P20" t="s">
        <v>176</v>
      </c>
      <c r="Q20" t="s">
        <v>85</v>
      </c>
      <c r="U20" t="s">
        <v>177</v>
      </c>
      <c r="V20" t="s">
        <v>178</v>
      </c>
      <c r="Z20" t="s">
        <v>179</v>
      </c>
      <c r="AA20" t="s">
        <v>180</v>
      </c>
      <c r="AE20" t="s">
        <v>181</v>
      </c>
      <c r="AF20" t="s">
        <v>85</v>
      </c>
    </row>
    <row r="21" spans="1:32" x14ac:dyDescent="0.55000000000000004">
      <c r="A21" s="2" t="s">
        <v>182</v>
      </c>
      <c r="B21" s="2"/>
      <c r="C21" s="2"/>
      <c r="D21" s="8"/>
      <c r="E21" s="2"/>
      <c r="F21" s="2"/>
      <c r="G21" s="2"/>
      <c r="H21" s="8"/>
      <c r="I21" s="2">
        <v>313</v>
      </c>
      <c r="J21" t="s">
        <v>61</v>
      </c>
      <c r="K21" t="s">
        <v>183</v>
      </c>
      <c r="L21" t="s">
        <v>38</v>
      </c>
      <c r="P21" t="s">
        <v>184</v>
      </c>
      <c r="Q21" t="s">
        <v>185</v>
      </c>
      <c r="U21" t="s">
        <v>186</v>
      </c>
      <c r="V21" t="s">
        <v>187</v>
      </c>
      <c r="Z21" t="s">
        <v>188</v>
      </c>
      <c r="AA21" t="s">
        <v>187</v>
      </c>
      <c r="AE21" t="s">
        <v>189</v>
      </c>
      <c r="AF21" t="s">
        <v>190</v>
      </c>
    </row>
    <row r="22" spans="1:32" x14ac:dyDescent="0.55000000000000004">
      <c r="A22" s="2" t="s">
        <v>191</v>
      </c>
      <c r="B22" s="8">
        <v>37688000</v>
      </c>
      <c r="C22" s="8">
        <v>14560000</v>
      </c>
      <c r="D22" s="8"/>
      <c r="E22" s="8"/>
      <c r="F22" s="8"/>
      <c r="G22" s="8"/>
      <c r="H22" s="8">
        <v>52248000</v>
      </c>
      <c r="I22" s="2">
        <v>302</v>
      </c>
      <c r="J22" t="s">
        <v>36</v>
      </c>
      <c r="K22" t="s">
        <v>192</v>
      </c>
      <c r="L22" t="s">
        <v>193</v>
      </c>
      <c r="P22" t="s">
        <v>194</v>
      </c>
      <c r="Q22" t="s">
        <v>195</v>
      </c>
      <c r="U22" t="s">
        <v>196</v>
      </c>
      <c r="V22" t="s">
        <v>197</v>
      </c>
      <c r="Z22" t="s">
        <v>198</v>
      </c>
      <c r="AA22" t="s">
        <v>199</v>
      </c>
      <c r="AE22" t="s">
        <v>200</v>
      </c>
      <c r="AF22" t="s">
        <v>201</v>
      </c>
    </row>
    <row r="23" spans="1:32" x14ac:dyDescent="0.55000000000000004">
      <c r="A23" s="2" t="s">
        <v>202</v>
      </c>
      <c r="B23" s="8">
        <v>15220694</v>
      </c>
      <c r="C23" s="8">
        <v>5556771</v>
      </c>
      <c r="D23" s="8">
        <v>6149658</v>
      </c>
      <c r="E23" s="8"/>
      <c r="F23" s="8"/>
      <c r="G23" s="8"/>
      <c r="H23" s="8">
        <v>26927123</v>
      </c>
      <c r="I23" s="2">
        <v>294</v>
      </c>
      <c r="J23" t="s">
        <v>36</v>
      </c>
      <c r="K23" t="s">
        <v>203</v>
      </c>
      <c r="L23" t="s">
        <v>204</v>
      </c>
      <c r="P23" t="s">
        <v>205</v>
      </c>
      <c r="Q23" t="s">
        <v>206</v>
      </c>
      <c r="U23" t="s">
        <v>207</v>
      </c>
      <c r="V23" t="s">
        <v>85</v>
      </c>
      <c r="Z23" t="s">
        <v>208</v>
      </c>
      <c r="AA23" t="s">
        <v>209</v>
      </c>
      <c r="AE23" t="s">
        <v>210</v>
      </c>
      <c r="AF23" t="s">
        <v>211</v>
      </c>
    </row>
    <row r="24" spans="1:32" x14ac:dyDescent="0.55000000000000004">
      <c r="A24" s="9" t="s">
        <v>212</v>
      </c>
      <c r="D24" s="10">
        <v>24639893</v>
      </c>
      <c r="H24" s="10">
        <v>24639893</v>
      </c>
      <c r="I24" s="9">
        <v>286</v>
      </c>
      <c r="J24" t="s">
        <v>36</v>
      </c>
      <c r="K24" t="s">
        <v>213</v>
      </c>
      <c r="L24" t="s">
        <v>214</v>
      </c>
      <c r="P24" t="s">
        <v>215</v>
      </c>
      <c r="Q24" t="s">
        <v>216</v>
      </c>
      <c r="U24" t="s">
        <v>217</v>
      </c>
      <c r="V24" t="s">
        <v>216</v>
      </c>
      <c r="Z24" t="s">
        <v>218</v>
      </c>
      <c r="AA24" t="s">
        <v>216</v>
      </c>
      <c r="AE24" t="s">
        <v>219</v>
      </c>
      <c r="AF24" t="s">
        <v>216</v>
      </c>
    </row>
    <row r="25" spans="1:32" x14ac:dyDescent="0.55000000000000004">
      <c r="A25" s="9" t="s">
        <v>220</v>
      </c>
      <c r="D25" s="10">
        <v>64982137</v>
      </c>
      <c r="G25" s="11">
        <v>11891646</v>
      </c>
      <c r="H25" s="10">
        <v>76873783</v>
      </c>
      <c r="I25" s="9">
        <v>257</v>
      </c>
      <c r="J25" t="s">
        <v>36</v>
      </c>
      <c r="K25" t="s">
        <v>221</v>
      </c>
      <c r="L25" t="s">
        <v>38</v>
      </c>
    </row>
    <row r="26" spans="1:32" x14ac:dyDescent="0.55000000000000004">
      <c r="A26" s="9" t="s">
        <v>222</v>
      </c>
      <c r="D26" s="10">
        <v>14496274</v>
      </c>
      <c r="H26" s="10">
        <v>14496274</v>
      </c>
      <c r="I26" s="9">
        <v>249</v>
      </c>
      <c r="J26" t="s">
        <v>36</v>
      </c>
      <c r="K26" t="s">
        <v>223</v>
      </c>
      <c r="L26" t="s">
        <v>78</v>
      </c>
      <c r="P26" t="s">
        <v>224</v>
      </c>
      <c r="Q26" t="s">
        <v>138</v>
      </c>
    </row>
    <row r="27" spans="1:32" x14ac:dyDescent="0.55000000000000004">
      <c r="A27" s="9" t="s">
        <v>225</v>
      </c>
      <c r="B27" s="11">
        <v>7884889</v>
      </c>
      <c r="C27" s="11"/>
      <c r="D27" s="10">
        <v>8348706</v>
      </c>
      <c r="E27" s="11"/>
      <c r="F27" s="11"/>
      <c r="G27" s="11"/>
      <c r="H27" s="10">
        <v>16233595</v>
      </c>
      <c r="I27" s="9">
        <v>245</v>
      </c>
      <c r="J27" t="s">
        <v>36</v>
      </c>
      <c r="K27" t="s">
        <v>226</v>
      </c>
      <c r="L27" t="s">
        <v>38</v>
      </c>
    </row>
    <row r="28" spans="1:32" x14ac:dyDescent="0.55000000000000004">
      <c r="A28" s="9" t="s">
        <v>227</v>
      </c>
      <c r="D28" s="10"/>
      <c r="H28" s="10"/>
      <c r="I28" s="9">
        <v>235</v>
      </c>
      <c r="J28" t="s">
        <v>61</v>
      </c>
    </row>
    <row r="29" spans="1:32" x14ac:dyDescent="0.55000000000000004">
      <c r="A29" s="9" t="s">
        <v>228</v>
      </c>
      <c r="D29" s="10"/>
      <c r="H29" s="10"/>
      <c r="I29" s="9">
        <v>234</v>
      </c>
      <c r="J29" t="s">
        <v>61</v>
      </c>
    </row>
    <row r="30" spans="1:32" x14ac:dyDescent="0.55000000000000004">
      <c r="A30" s="9" t="s">
        <v>229</v>
      </c>
      <c r="D30" s="10">
        <v>16700000</v>
      </c>
      <c r="H30" s="10">
        <v>16700000</v>
      </c>
      <c r="I30" s="9">
        <v>231</v>
      </c>
      <c r="J30" t="s">
        <v>36</v>
      </c>
      <c r="K30" t="s">
        <v>230</v>
      </c>
      <c r="L30" t="s">
        <v>154</v>
      </c>
    </row>
    <row r="31" spans="1:32" x14ac:dyDescent="0.55000000000000004">
      <c r="A31" s="9" t="s">
        <v>231</v>
      </c>
      <c r="B31" s="11">
        <v>3122293</v>
      </c>
      <c r="C31" s="11">
        <v>3112262</v>
      </c>
      <c r="D31" s="10">
        <v>10357542</v>
      </c>
      <c r="E31" s="11"/>
      <c r="F31" s="11"/>
      <c r="G31" s="11">
        <v>7535753</v>
      </c>
      <c r="H31" s="10">
        <v>24127850</v>
      </c>
      <c r="I31" s="9">
        <v>227</v>
      </c>
      <c r="J31" t="s">
        <v>36</v>
      </c>
      <c r="K31" t="s">
        <v>232</v>
      </c>
      <c r="L31" t="s">
        <v>233</v>
      </c>
      <c r="P31" t="s">
        <v>234</v>
      </c>
      <c r="Q31" t="s">
        <v>235</v>
      </c>
      <c r="U31" t="s">
        <v>236</v>
      </c>
      <c r="V31" t="s">
        <v>237</v>
      </c>
      <c r="Z31" t="s">
        <v>238</v>
      </c>
      <c r="AA31" t="s">
        <v>85</v>
      </c>
      <c r="AE31" t="s">
        <v>239</v>
      </c>
      <c r="AF31" t="s">
        <v>95</v>
      </c>
    </row>
    <row r="32" spans="1:32" x14ac:dyDescent="0.55000000000000004">
      <c r="A32" s="9" t="s">
        <v>240</v>
      </c>
      <c r="D32" s="10">
        <v>22500000</v>
      </c>
      <c r="H32" s="10">
        <v>22500000</v>
      </c>
      <c r="I32" s="9">
        <v>224</v>
      </c>
      <c r="J32" t="s">
        <v>36</v>
      </c>
      <c r="K32" t="s">
        <v>241</v>
      </c>
      <c r="L32" t="s">
        <v>38</v>
      </c>
      <c r="P32" t="s">
        <v>242</v>
      </c>
      <c r="Q32" t="s">
        <v>243</v>
      </c>
      <c r="U32" t="s">
        <v>244</v>
      </c>
      <c r="V32" t="s">
        <v>245</v>
      </c>
      <c r="Z32" t="s">
        <v>246</v>
      </c>
      <c r="AA32" t="s">
        <v>247</v>
      </c>
      <c r="AE32" t="s">
        <v>248</v>
      </c>
      <c r="AF32" t="s">
        <v>249</v>
      </c>
    </row>
    <row r="33" spans="1:32" x14ac:dyDescent="0.55000000000000004">
      <c r="A33" s="9" t="s">
        <v>250</v>
      </c>
      <c r="D33" s="9"/>
      <c r="G33" s="11">
        <v>14381252</v>
      </c>
      <c r="H33" s="10">
        <v>14381252</v>
      </c>
      <c r="I33" s="9">
        <v>223</v>
      </c>
      <c r="J33" t="s">
        <v>36</v>
      </c>
      <c r="K33" t="s">
        <v>251</v>
      </c>
      <c r="L33" t="s">
        <v>252</v>
      </c>
      <c r="P33" t="s">
        <v>253</v>
      </c>
      <c r="Q33" t="s">
        <v>254</v>
      </c>
      <c r="U33" t="s">
        <v>255</v>
      </c>
      <c r="V33" t="s">
        <v>85</v>
      </c>
      <c r="Z33" t="s">
        <v>256</v>
      </c>
      <c r="AA33" t="s">
        <v>85</v>
      </c>
      <c r="AE33" t="s">
        <v>257</v>
      </c>
      <c r="AF33" t="s">
        <v>258</v>
      </c>
    </row>
    <row r="34" spans="1:32" x14ac:dyDescent="0.55000000000000004">
      <c r="A34" s="9" t="s">
        <v>259</v>
      </c>
      <c r="D34" s="9"/>
      <c r="G34" s="11">
        <v>12039538</v>
      </c>
      <c r="H34" s="10">
        <v>12039538</v>
      </c>
      <c r="I34" s="9">
        <v>218</v>
      </c>
      <c r="J34" t="s">
        <v>36</v>
      </c>
      <c r="K34" t="s">
        <v>260</v>
      </c>
      <c r="L34" t="s">
        <v>38</v>
      </c>
      <c r="P34" t="s">
        <v>261</v>
      </c>
      <c r="Q34" t="s">
        <v>262</v>
      </c>
      <c r="U34" t="s">
        <v>263</v>
      </c>
      <c r="V34" t="s">
        <v>264</v>
      </c>
      <c r="Z34" t="s">
        <v>265</v>
      </c>
      <c r="AA34" t="s">
        <v>266</v>
      </c>
      <c r="AE34" t="s">
        <v>267</v>
      </c>
      <c r="AF34" t="s">
        <v>85</v>
      </c>
    </row>
    <row r="35" spans="1:32" x14ac:dyDescent="0.55000000000000004">
      <c r="A35" s="9" t="s">
        <v>268</v>
      </c>
      <c r="D35" s="10">
        <v>8092756</v>
      </c>
      <c r="G35" s="11">
        <v>3109129</v>
      </c>
      <c r="H35" s="10">
        <v>11201885</v>
      </c>
      <c r="I35" s="9">
        <v>210</v>
      </c>
      <c r="J35" t="s">
        <v>36</v>
      </c>
    </row>
  </sheetData>
  <hyperlinks>
    <hyperlink ref="N2" r:id="rId1" display="tel:416 944 7837" xr:uid="{3C2BFD39-3169-4A8D-B936-7819BE607CDA}"/>
    <hyperlink ref="M2" r:id="rId2" xr:uid="{BA7E9882-6B55-4D7B-B5CA-B20D4E311B1E}"/>
  </hyperlinks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AB43-77F7-4096-85DA-6B15932AB8EC}">
  <dimension ref="A1:J73"/>
  <sheetViews>
    <sheetView zoomScale="200" workbookViewId="0">
      <selection activeCell="A9" sqref="A9"/>
    </sheetView>
  </sheetViews>
  <sheetFormatPr defaultColWidth="8.83984375" defaultRowHeight="14.4" x14ac:dyDescent="0.55000000000000004"/>
  <cols>
    <col min="1" max="1" width="35.41796875" bestFit="1" customWidth="1"/>
    <col min="2" max="3" width="12.15625" bestFit="1" customWidth="1"/>
    <col min="4" max="4" width="12.83984375" bestFit="1" customWidth="1"/>
    <col min="5" max="5" width="12.15625" bestFit="1" customWidth="1"/>
    <col min="6" max="6" width="13.41796875" bestFit="1" customWidth="1"/>
    <col min="7" max="7" width="12.41796875" bestFit="1" customWidth="1"/>
    <col min="8" max="8" width="15.41796875" bestFit="1" customWidth="1"/>
    <col min="9" max="9" width="13" customWidth="1"/>
    <col min="10" max="10" width="9.15625" customWidth="1"/>
  </cols>
  <sheetData>
    <row r="1" spans="1:10" ht="28.8" x14ac:dyDescent="0.5500000000000000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x14ac:dyDescent="0.55000000000000004">
      <c r="A2" s="2" t="s">
        <v>269</v>
      </c>
      <c r="B2" s="2"/>
      <c r="C2" s="2"/>
      <c r="D2" s="8">
        <v>5358661</v>
      </c>
      <c r="E2" s="8">
        <v>12533614</v>
      </c>
      <c r="F2" s="2"/>
      <c r="G2" s="8">
        <v>6707417</v>
      </c>
      <c r="H2" s="8">
        <v>24599692</v>
      </c>
      <c r="I2" s="2">
        <v>662</v>
      </c>
      <c r="J2" t="s">
        <v>36</v>
      </c>
    </row>
    <row r="3" spans="1:10" x14ac:dyDescent="0.55000000000000004">
      <c r="A3" s="2" t="s">
        <v>270</v>
      </c>
      <c r="B3" s="2"/>
      <c r="C3" s="2"/>
      <c r="D3" s="2"/>
      <c r="E3" s="8">
        <v>14719106</v>
      </c>
      <c r="F3" s="2"/>
      <c r="G3" s="2"/>
      <c r="H3" s="8">
        <v>14719106</v>
      </c>
      <c r="I3" s="2">
        <v>590</v>
      </c>
      <c r="J3" t="s">
        <v>36</v>
      </c>
    </row>
    <row r="4" spans="1:10" x14ac:dyDescent="0.55000000000000004">
      <c r="A4" s="2" t="s">
        <v>271</v>
      </c>
      <c r="B4" s="8">
        <v>20500780</v>
      </c>
      <c r="C4" s="8"/>
      <c r="D4" s="8"/>
      <c r="E4" s="8"/>
      <c r="F4" s="8"/>
      <c r="G4" s="8"/>
      <c r="H4" s="8">
        <v>20500780</v>
      </c>
      <c r="I4" s="2">
        <v>501</v>
      </c>
      <c r="J4" t="s">
        <v>36</v>
      </c>
    </row>
    <row r="5" spans="1:10" x14ac:dyDescent="0.55000000000000004">
      <c r="A5" s="2" t="s">
        <v>128</v>
      </c>
      <c r="B5" s="8">
        <v>17034210</v>
      </c>
      <c r="C5" s="8"/>
      <c r="D5" s="8"/>
      <c r="E5" s="8">
        <v>3536384</v>
      </c>
      <c r="F5" s="8"/>
      <c r="G5" s="8"/>
      <c r="H5" s="8">
        <v>20570594</v>
      </c>
      <c r="I5" s="2">
        <v>472</v>
      </c>
      <c r="J5" t="s">
        <v>36</v>
      </c>
    </row>
    <row r="6" spans="1:10" x14ac:dyDescent="0.55000000000000004">
      <c r="A6" s="2" t="s">
        <v>272</v>
      </c>
      <c r="B6" s="2"/>
      <c r="C6" s="2"/>
      <c r="D6" s="2"/>
      <c r="E6" s="2"/>
      <c r="F6" s="2"/>
      <c r="G6" s="2"/>
      <c r="H6" s="8"/>
      <c r="I6" s="2">
        <v>451</v>
      </c>
      <c r="J6" t="s">
        <v>61</v>
      </c>
    </row>
    <row r="7" spans="1:10" x14ac:dyDescent="0.55000000000000004">
      <c r="A7" s="2" t="s">
        <v>273</v>
      </c>
      <c r="B7" s="2"/>
      <c r="C7" s="2"/>
      <c r="D7" s="8">
        <v>7212951</v>
      </c>
      <c r="E7" s="2"/>
      <c r="F7" s="2"/>
      <c r="G7" s="2"/>
      <c r="H7" s="8">
        <v>7212951</v>
      </c>
      <c r="I7" s="2">
        <v>346</v>
      </c>
      <c r="J7" t="s">
        <v>36</v>
      </c>
    </row>
    <row r="8" spans="1:10" x14ac:dyDescent="0.55000000000000004">
      <c r="A8" s="2" t="s">
        <v>274</v>
      </c>
      <c r="B8" s="2"/>
      <c r="C8" s="8">
        <v>1489679</v>
      </c>
      <c r="D8" s="8">
        <v>4330414</v>
      </c>
      <c r="E8" s="8">
        <v>7286299</v>
      </c>
      <c r="F8" s="2"/>
      <c r="G8" s="2"/>
      <c r="H8" s="8">
        <v>13106392</v>
      </c>
      <c r="I8" s="2">
        <v>331</v>
      </c>
      <c r="J8" t="s">
        <v>36</v>
      </c>
    </row>
    <row r="9" spans="1:10" x14ac:dyDescent="0.55000000000000004">
      <c r="A9" s="2" t="s">
        <v>275</v>
      </c>
      <c r="B9" s="2"/>
      <c r="C9" s="2"/>
      <c r="D9" s="2"/>
      <c r="E9" s="2"/>
      <c r="F9" s="2"/>
      <c r="G9" s="2"/>
      <c r="H9" s="8"/>
      <c r="I9" s="2">
        <v>325</v>
      </c>
      <c r="J9" t="s">
        <v>61</v>
      </c>
    </row>
    <row r="10" spans="1:10" x14ac:dyDescent="0.55000000000000004">
      <c r="A10" s="2" t="s">
        <v>276</v>
      </c>
      <c r="B10" s="2"/>
      <c r="C10" s="2"/>
      <c r="D10" s="8">
        <v>9127020</v>
      </c>
      <c r="E10" s="2"/>
      <c r="F10" s="2"/>
      <c r="G10" s="2"/>
      <c r="H10" s="8">
        <v>9127020</v>
      </c>
      <c r="I10" s="2">
        <v>296</v>
      </c>
      <c r="J10" t="s">
        <v>36</v>
      </c>
    </row>
    <row r="11" spans="1:10" x14ac:dyDescent="0.55000000000000004">
      <c r="A11" s="2" t="s">
        <v>277</v>
      </c>
      <c r="B11" s="2"/>
      <c r="C11" s="2"/>
      <c r="D11" s="8">
        <v>3793785</v>
      </c>
      <c r="E11" s="8">
        <v>3156753</v>
      </c>
      <c r="F11" s="2"/>
      <c r="G11" s="2"/>
      <c r="H11" s="8">
        <v>6950538</v>
      </c>
      <c r="I11" s="2">
        <v>269</v>
      </c>
      <c r="J11" t="s">
        <v>36</v>
      </c>
    </row>
    <row r="12" spans="1:10" x14ac:dyDescent="0.55000000000000004">
      <c r="A12" s="2" t="s">
        <v>278</v>
      </c>
      <c r="B12" s="8">
        <v>10474000</v>
      </c>
      <c r="C12" s="8"/>
      <c r="D12" s="8"/>
      <c r="E12" s="8"/>
      <c r="F12" s="8"/>
      <c r="G12" s="8"/>
      <c r="H12" s="8">
        <v>10474000</v>
      </c>
      <c r="I12" s="2">
        <v>258</v>
      </c>
      <c r="J12" t="s">
        <v>36</v>
      </c>
    </row>
    <row r="13" spans="1:10" x14ac:dyDescent="0.55000000000000004">
      <c r="A13" s="2" t="s">
        <v>279</v>
      </c>
      <c r="B13" s="2"/>
      <c r="C13" s="2"/>
      <c r="D13" s="8">
        <v>8798319</v>
      </c>
      <c r="E13" s="2"/>
      <c r="F13" s="2"/>
      <c r="G13" s="2"/>
      <c r="H13" s="8">
        <v>8798319</v>
      </c>
      <c r="I13" s="2">
        <v>249</v>
      </c>
      <c r="J13" t="s">
        <v>36</v>
      </c>
    </row>
    <row r="14" spans="1:10" x14ac:dyDescent="0.55000000000000004">
      <c r="A14" s="2" t="s">
        <v>280</v>
      </c>
      <c r="B14" s="2"/>
      <c r="C14" s="2"/>
      <c r="D14" s="2"/>
      <c r="E14" s="8">
        <v>7015353</v>
      </c>
      <c r="F14" s="2"/>
      <c r="G14" s="2"/>
      <c r="H14" s="8">
        <v>7015353</v>
      </c>
      <c r="I14" s="2">
        <v>233</v>
      </c>
      <c r="J14" t="s">
        <v>36</v>
      </c>
    </row>
    <row r="15" spans="1:10" x14ac:dyDescent="0.55000000000000004">
      <c r="A15" s="2" t="s">
        <v>281</v>
      </c>
      <c r="B15" s="2"/>
      <c r="C15" s="2"/>
      <c r="D15" s="8">
        <v>42523884</v>
      </c>
      <c r="E15" s="2"/>
      <c r="F15" s="2"/>
      <c r="G15" s="2"/>
      <c r="H15" s="8">
        <v>42523884</v>
      </c>
      <c r="I15" s="2">
        <v>194</v>
      </c>
      <c r="J15" t="s">
        <v>36</v>
      </c>
    </row>
    <row r="16" spans="1:10" x14ac:dyDescent="0.55000000000000004">
      <c r="A16" s="2" t="s">
        <v>282</v>
      </c>
      <c r="B16" s="2"/>
      <c r="C16" s="2"/>
      <c r="D16" s="8">
        <v>10019663</v>
      </c>
      <c r="E16" s="2"/>
      <c r="F16" s="2"/>
      <c r="G16" s="2"/>
      <c r="H16" s="8">
        <v>10019663</v>
      </c>
      <c r="I16" s="2">
        <v>188</v>
      </c>
      <c r="J16" t="s">
        <v>36</v>
      </c>
    </row>
    <row r="17" spans="1:10" x14ac:dyDescent="0.55000000000000004">
      <c r="A17" s="2" t="s">
        <v>283</v>
      </c>
      <c r="B17" s="2"/>
      <c r="C17" s="2"/>
      <c r="D17" s="8">
        <v>43081125</v>
      </c>
      <c r="E17" s="2"/>
      <c r="F17" s="2"/>
      <c r="G17" s="2"/>
      <c r="H17" s="8">
        <v>43081125</v>
      </c>
      <c r="I17" s="2">
        <v>186</v>
      </c>
      <c r="J17" t="s">
        <v>36</v>
      </c>
    </row>
    <row r="18" spans="1:10" x14ac:dyDescent="0.55000000000000004">
      <c r="A18" s="2" t="s">
        <v>284</v>
      </c>
      <c r="B18" s="2"/>
      <c r="C18" s="2"/>
      <c r="D18" s="2"/>
      <c r="E18" s="2"/>
      <c r="F18" s="2"/>
      <c r="G18" s="2"/>
      <c r="H18" s="8"/>
      <c r="I18" s="2">
        <v>184</v>
      </c>
      <c r="J18" t="s">
        <v>61</v>
      </c>
    </row>
    <row r="19" spans="1:10" x14ac:dyDescent="0.55000000000000004">
      <c r="A19" s="2" t="s">
        <v>285</v>
      </c>
      <c r="B19" s="8">
        <v>25546137</v>
      </c>
      <c r="C19" s="8"/>
      <c r="D19" s="8"/>
      <c r="E19" s="8"/>
      <c r="F19" s="8"/>
      <c r="G19" s="8"/>
      <c r="H19" s="8">
        <v>25546137</v>
      </c>
      <c r="I19" s="2">
        <v>180</v>
      </c>
      <c r="J19" t="s">
        <v>36</v>
      </c>
    </row>
    <row r="20" spans="1:10" x14ac:dyDescent="0.55000000000000004">
      <c r="A20" s="2" t="s">
        <v>286</v>
      </c>
      <c r="B20" s="2"/>
      <c r="C20" s="2"/>
      <c r="D20" s="2"/>
      <c r="E20" s="8">
        <v>7744669</v>
      </c>
      <c r="F20" s="2"/>
      <c r="G20" s="2"/>
      <c r="H20" s="8">
        <v>7744669</v>
      </c>
      <c r="I20" s="2">
        <v>166</v>
      </c>
      <c r="J20" t="s">
        <v>36</v>
      </c>
    </row>
    <row r="21" spans="1:10" x14ac:dyDescent="0.55000000000000004">
      <c r="A21" s="2" t="s">
        <v>287</v>
      </c>
      <c r="B21" s="2"/>
      <c r="C21" s="2"/>
      <c r="D21" s="2"/>
      <c r="E21" s="8">
        <v>3530805</v>
      </c>
      <c r="F21" s="2"/>
      <c r="G21" s="8">
        <v>2478377</v>
      </c>
      <c r="H21" s="8">
        <v>6009182</v>
      </c>
      <c r="I21" s="2">
        <v>164</v>
      </c>
      <c r="J21" t="s">
        <v>36</v>
      </c>
    </row>
    <row r="22" spans="1:10" x14ac:dyDescent="0.55000000000000004">
      <c r="A22" s="2" t="s">
        <v>288</v>
      </c>
      <c r="B22" s="2"/>
      <c r="C22" s="2"/>
      <c r="D22" s="8">
        <v>34215698</v>
      </c>
      <c r="E22" s="2"/>
      <c r="F22" s="2"/>
      <c r="G22" s="2"/>
      <c r="H22" s="8">
        <v>34215698</v>
      </c>
      <c r="I22" s="2">
        <v>159</v>
      </c>
      <c r="J22" t="s">
        <v>36</v>
      </c>
    </row>
    <row r="23" spans="1:10" x14ac:dyDescent="0.55000000000000004">
      <c r="A23" s="2" t="s">
        <v>289</v>
      </c>
      <c r="B23" s="2"/>
      <c r="C23" s="2"/>
      <c r="D23" s="8">
        <v>11698012</v>
      </c>
      <c r="E23" s="2"/>
      <c r="F23" s="2"/>
      <c r="G23" s="2"/>
      <c r="H23" s="8">
        <v>11698012</v>
      </c>
      <c r="I23" s="2">
        <v>151</v>
      </c>
      <c r="J23" t="s">
        <v>36</v>
      </c>
    </row>
    <row r="24" spans="1:10" x14ac:dyDescent="0.55000000000000004">
      <c r="A24" s="2" t="s">
        <v>290</v>
      </c>
      <c r="B24" s="2"/>
      <c r="C24" s="2"/>
      <c r="D24" s="8">
        <v>7825225</v>
      </c>
      <c r="E24" s="2"/>
      <c r="F24" s="2"/>
      <c r="G24" s="2"/>
      <c r="H24" s="8">
        <v>7825225</v>
      </c>
      <c r="I24" s="2">
        <v>150</v>
      </c>
      <c r="J24" t="s">
        <v>36</v>
      </c>
    </row>
    <row r="25" spans="1:10" x14ac:dyDescent="0.55000000000000004">
      <c r="A25" s="2" t="s">
        <v>291</v>
      </c>
      <c r="B25" s="2"/>
      <c r="C25" s="2"/>
      <c r="D25" s="8">
        <v>7475496</v>
      </c>
      <c r="E25" s="2"/>
      <c r="F25" s="2"/>
      <c r="G25" s="2"/>
      <c r="H25" s="8">
        <v>7475496</v>
      </c>
      <c r="I25" s="2">
        <v>150</v>
      </c>
      <c r="J25" t="s">
        <v>36</v>
      </c>
    </row>
    <row r="26" spans="1:10" x14ac:dyDescent="0.55000000000000004">
      <c r="A26" s="2" t="s">
        <v>292</v>
      </c>
      <c r="B26" s="8">
        <v>15444024</v>
      </c>
      <c r="C26" s="8">
        <v>10034876</v>
      </c>
      <c r="D26" s="8"/>
      <c r="E26" s="8"/>
      <c r="F26" s="8"/>
      <c r="G26" s="8"/>
      <c r="H26" s="8">
        <v>25478900</v>
      </c>
      <c r="I26" s="2">
        <v>149</v>
      </c>
      <c r="J26" t="s">
        <v>36</v>
      </c>
    </row>
    <row r="27" spans="1:10" x14ac:dyDescent="0.55000000000000004">
      <c r="A27" s="2" t="s">
        <v>293</v>
      </c>
      <c r="B27" s="2"/>
      <c r="C27" s="2"/>
      <c r="D27" s="2"/>
      <c r="E27" s="2"/>
      <c r="F27" s="2"/>
      <c r="G27" s="2"/>
      <c r="H27" s="8"/>
      <c r="I27" s="2">
        <v>148</v>
      </c>
      <c r="J27" t="s">
        <v>61</v>
      </c>
    </row>
    <row r="28" spans="1:10" x14ac:dyDescent="0.55000000000000004">
      <c r="A28" s="2" t="s">
        <v>294</v>
      </c>
      <c r="B28" s="8">
        <v>5454072</v>
      </c>
      <c r="C28" s="8"/>
      <c r="D28" s="8"/>
      <c r="E28" s="8"/>
      <c r="F28" s="8"/>
      <c r="G28" s="8">
        <v>2870564</v>
      </c>
      <c r="H28" s="8">
        <v>8324636</v>
      </c>
      <c r="I28" s="2">
        <v>142</v>
      </c>
      <c r="J28" t="s">
        <v>36</v>
      </c>
    </row>
    <row r="29" spans="1:10" x14ac:dyDescent="0.55000000000000004">
      <c r="A29" s="2" t="s">
        <v>295</v>
      </c>
      <c r="B29" s="8">
        <v>15400000</v>
      </c>
      <c r="C29" s="8">
        <v>2200000</v>
      </c>
      <c r="D29" s="8"/>
      <c r="E29" s="8"/>
      <c r="F29" s="8"/>
      <c r="G29" s="8">
        <v>3100000</v>
      </c>
      <c r="H29" s="8">
        <v>20700000</v>
      </c>
      <c r="I29" s="2">
        <v>141</v>
      </c>
      <c r="J29" t="s">
        <v>36</v>
      </c>
    </row>
    <row r="30" spans="1:10" x14ac:dyDescent="0.55000000000000004">
      <c r="A30" s="2" t="s">
        <v>296</v>
      </c>
      <c r="B30" s="2"/>
      <c r="C30" s="2"/>
      <c r="D30" s="2"/>
      <c r="E30" s="2"/>
      <c r="F30" s="2"/>
      <c r="G30" s="8">
        <v>20074000</v>
      </c>
      <c r="H30" s="8">
        <v>20074000</v>
      </c>
      <c r="I30" s="2">
        <v>137</v>
      </c>
      <c r="J30" t="s">
        <v>36</v>
      </c>
    </row>
    <row r="31" spans="1:10" x14ac:dyDescent="0.55000000000000004">
      <c r="A31" s="2" t="s">
        <v>297</v>
      </c>
      <c r="B31" s="8">
        <v>16800000</v>
      </c>
      <c r="C31" s="8"/>
      <c r="D31" s="8"/>
      <c r="E31" s="8"/>
      <c r="F31" s="8"/>
      <c r="G31" s="8"/>
      <c r="H31" s="8">
        <v>16800000</v>
      </c>
      <c r="I31" s="2">
        <v>131</v>
      </c>
      <c r="J31" t="s">
        <v>36</v>
      </c>
    </row>
    <row r="32" spans="1:10" x14ac:dyDescent="0.55000000000000004">
      <c r="A32" s="2" t="s">
        <v>298</v>
      </c>
      <c r="B32" s="2"/>
      <c r="C32" s="2"/>
      <c r="D32" s="8">
        <v>7648521</v>
      </c>
      <c r="E32" s="2"/>
      <c r="F32" s="2"/>
      <c r="G32" s="2"/>
      <c r="H32" s="8">
        <v>7648521</v>
      </c>
      <c r="I32" s="2">
        <v>127</v>
      </c>
      <c r="J32" t="s">
        <v>36</v>
      </c>
    </row>
    <row r="33" spans="1:10" x14ac:dyDescent="0.55000000000000004">
      <c r="A33" s="2" t="s">
        <v>299</v>
      </c>
      <c r="B33" s="8">
        <v>22300000</v>
      </c>
      <c r="C33" s="8">
        <v>16300000</v>
      </c>
      <c r="D33" s="8"/>
      <c r="E33" s="8"/>
      <c r="F33" s="8"/>
      <c r="G33" s="8"/>
      <c r="H33" s="8">
        <v>38600000</v>
      </c>
      <c r="I33" s="2">
        <v>126</v>
      </c>
      <c r="J33" t="s">
        <v>36</v>
      </c>
    </row>
    <row r="34" spans="1:10" x14ac:dyDescent="0.55000000000000004">
      <c r="A34" s="2" t="s">
        <v>300</v>
      </c>
      <c r="B34" s="2"/>
      <c r="C34" s="2"/>
      <c r="D34" s="2"/>
      <c r="E34" s="2"/>
      <c r="F34" s="2"/>
      <c r="G34" s="2"/>
      <c r="H34" s="8"/>
      <c r="I34" s="2">
        <v>124</v>
      </c>
      <c r="J34" t="s">
        <v>61</v>
      </c>
    </row>
    <row r="35" spans="1:10" x14ac:dyDescent="0.55000000000000004">
      <c r="A35" s="2" t="s">
        <v>301</v>
      </c>
      <c r="B35" s="2"/>
      <c r="C35" s="2"/>
      <c r="D35" s="8">
        <v>7138000</v>
      </c>
      <c r="E35" s="2"/>
      <c r="F35" s="2"/>
      <c r="G35" s="2"/>
      <c r="H35" s="8">
        <v>7138000</v>
      </c>
      <c r="I35" s="2">
        <v>120</v>
      </c>
      <c r="J35" t="s">
        <v>36</v>
      </c>
    </row>
    <row r="36" spans="1:10" x14ac:dyDescent="0.55000000000000004">
      <c r="A36" s="2" t="s">
        <v>302</v>
      </c>
      <c r="B36" s="2"/>
      <c r="C36" s="2"/>
      <c r="D36" s="8">
        <v>19260795</v>
      </c>
      <c r="E36" s="2"/>
      <c r="F36" s="2"/>
      <c r="G36" s="2"/>
      <c r="H36" s="8">
        <v>19260795</v>
      </c>
      <c r="I36" s="2">
        <v>116</v>
      </c>
      <c r="J36" t="s">
        <v>36</v>
      </c>
    </row>
    <row r="37" spans="1:10" x14ac:dyDescent="0.55000000000000004">
      <c r="A37" s="2" t="s">
        <v>303</v>
      </c>
      <c r="B37" s="8">
        <v>11205939</v>
      </c>
      <c r="C37" s="8">
        <v>2316366</v>
      </c>
      <c r="D37" s="8">
        <v>2901318</v>
      </c>
      <c r="E37" s="8"/>
      <c r="F37" s="8"/>
      <c r="G37" s="8"/>
      <c r="H37" s="8">
        <v>16423623</v>
      </c>
      <c r="I37" s="2">
        <v>116</v>
      </c>
      <c r="J37" t="s">
        <v>36</v>
      </c>
    </row>
    <row r="38" spans="1:10" x14ac:dyDescent="0.55000000000000004">
      <c r="A38" s="2" t="s">
        <v>304</v>
      </c>
      <c r="B38" s="2"/>
      <c r="C38" s="2"/>
      <c r="D38" s="8">
        <v>11036238</v>
      </c>
      <c r="E38" s="2"/>
      <c r="F38" s="2"/>
      <c r="G38" s="8">
        <v>8257494</v>
      </c>
      <c r="H38" s="8">
        <v>19293732</v>
      </c>
      <c r="I38" s="2">
        <v>114</v>
      </c>
      <c r="J38" t="s">
        <v>36</v>
      </c>
    </row>
    <row r="39" spans="1:10" x14ac:dyDescent="0.55000000000000004">
      <c r="A39" s="2" t="s">
        <v>305</v>
      </c>
      <c r="B39" s="2"/>
      <c r="C39" s="2"/>
      <c r="D39" s="8">
        <v>6420000</v>
      </c>
      <c r="E39" s="2"/>
      <c r="F39" s="2"/>
      <c r="G39" s="2"/>
      <c r="H39" s="8">
        <v>6420000</v>
      </c>
      <c r="I39" s="2">
        <v>113</v>
      </c>
      <c r="J39" t="s">
        <v>36</v>
      </c>
    </row>
    <row r="40" spans="1:10" x14ac:dyDescent="0.55000000000000004">
      <c r="A40" s="2" t="s">
        <v>306</v>
      </c>
      <c r="B40" s="8">
        <v>3905177</v>
      </c>
      <c r="C40" s="8"/>
      <c r="D40" s="8">
        <v>17003201</v>
      </c>
      <c r="E40" s="8"/>
      <c r="F40" s="8"/>
      <c r="G40" s="8"/>
      <c r="H40" s="8">
        <v>20908378</v>
      </c>
      <c r="I40" s="2">
        <v>108</v>
      </c>
      <c r="J40" t="s">
        <v>36</v>
      </c>
    </row>
    <row r="41" spans="1:10" x14ac:dyDescent="0.55000000000000004">
      <c r="A41" s="2" t="s">
        <v>307</v>
      </c>
      <c r="B41" s="2"/>
      <c r="C41" s="2"/>
      <c r="D41" s="8">
        <v>6730409</v>
      </c>
      <c r="E41" s="2"/>
      <c r="F41" s="2"/>
      <c r="G41" s="2"/>
      <c r="H41" s="8">
        <v>6730409</v>
      </c>
      <c r="I41" s="2">
        <v>100</v>
      </c>
      <c r="J41" t="s">
        <v>36</v>
      </c>
    </row>
    <row r="42" spans="1:10" x14ac:dyDescent="0.55000000000000004">
      <c r="A42" s="2" t="s">
        <v>308</v>
      </c>
      <c r="B42" s="2"/>
      <c r="C42" s="2"/>
      <c r="D42" s="8">
        <v>7479909</v>
      </c>
      <c r="E42" s="2"/>
      <c r="F42" s="2"/>
      <c r="G42" s="2"/>
      <c r="H42" s="8">
        <v>7479909</v>
      </c>
      <c r="I42" s="2">
        <v>95</v>
      </c>
      <c r="J42" t="s">
        <v>36</v>
      </c>
    </row>
    <row r="43" spans="1:10" x14ac:dyDescent="0.55000000000000004">
      <c r="A43" s="2" t="s">
        <v>309</v>
      </c>
      <c r="B43" s="2"/>
      <c r="C43" s="2"/>
      <c r="D43" s="8">
        <v>9594620</v>
      </c>
      <c r="E43" s="2"/>
      <c r="F43" s="2"/>
      <c r="G43" s="2"/>
      <c r="H43" s="8">
        <v>9594620</v>
      </c>
      <c r="I43" s="2">
        <v>93</v>
      </c>
      <c r="J43" t="s">
        <v>36</v>
      </c>
    </row>
    <row r="44" spans="1:10" x14ac:dyDescent="0.55000000000000004">
      <c r="A44" s="2" t="s">
        <v>310</v>
      </c>
      <c r="B44" s="2"/>
      <c r="C44" s="2"/>
      <c r="D44" s="8">
        <v>16480000</v>
      </c>
      <c r="E44" s="2"/>
      <c r="F44" s="2"/>
      <c r="G44" s="2"/>
      <c r="H44" s="8">
        <v>16480000</v>
      </c>
      <c r="I44" s="2">
        <v>85</v>
      </c>
      <c r="J44" t="s">
        <v>36</v>
      </c>
    </row>
    <row r="45" spans="1:10" x14ac:dyDescent="0.55000000000000004">
      <c r="A45" s="2" t="s">
        <v>311</v>
      </c>
      <c r="B45" s="2"/>
      <c r="C45" s="2"/>
      <c r="D45" s="2"/>
      <c r="E45" s="8">
        <v>6106941</v>
      </c>
      <c r="F45" s="2"/>
      <c r="G45" s="2"/>
      <c r="H45" s="8">
        <v>6106941</v>
      </c>
      <c r="I45" s="2">
        <v>84</v>
      </c>
      <c r="J45" t="s">
        <v>36</v>
      </c>
    </row>
    <row r="46" spans="1:10" x14ac:dyDescent="0.55000000000000004">
      <c r="A46" s="2" t="s">
        <v>312</v>
      </c>
      <c r="B46" s="2"/>
      <c r="C46" s="2"/>
      <c r="D46" s="2"/>
      <c r="E46" s="2"/>
      <c r="F46" s="2"/>
      <c r="G46" s="2"/>
      <c r="H46" s="8"/>
      <c r="I46" s="2">
        <v>84</v>
      </c>
      <c r="J46" t="s">
        <v>61</v>
      </c>
    </row>
    <row r="47" spans="1:10" x14ac:dyDescent="0.55000000000000004">
      <c r="A47" s="2" t="s">
        <v>313</v>
      </c>
      <c r="B47" s="2"/>
      <c r="C47" s="2"/>
      <c r="D47" s="8">
        <v>25078000</v>
      </c>
      <c r="E47" s="2"/>
      <c r="F47" s="2"/>
      <c r="G47" s="2"/>
      <c r="H47" s="8">
        <v>25078000</v>
      </c>
      <c r="I47" s="2">
        <v>83</v>
      </c>
      <c r="J47" t="s">
        <v>36</v>
      </c>
    </row>
    <row r="48" spans="1:10" x14ac:dyDescent="0.55000000000000004">
      <c r="A48" s="2" t="s">
        <v>314</v>
      </c>
      <c r="B48" s="2"/>
      <c r="C48" s="2"/>
      <c r="D48" s="8">
        <v>9960000</v>
      </c>
      <c r="E48" s="2"/>
      <c r="F48" s="2"/>
      <c r="G48" s="8">
        <v>2590000</v>
      </c>
      <c r="H48" s="8">
        <v>12550000</v>
      </c>
      <c r="I48" s="2">
        <v>75</v>
      </c>
      <c r="J48" t="s">
        <v>36</v>
      </c>
    </row>
    <row r="49" spans="1:10" x14ac:dyDescent="0.55000000000000004">
      <c r="A49" s="2" t="s">
        <v>315</v>
      </c>
      <c r="B49" s="2"/>
      <c r="C49" s="2"/>
      <c r="D49" s="8">
        <v>12402554</v>
      </c>
      <c r="E49" s="2"/>
      <c r="F49" s="2"/>
      <c r="G49" s="2"/>
      <c r="H49" s="8">
        <v>12402554</v>
      </c>
      <c r="I49" s="2">
        <v>74</v>
      </c>
      <c r="J49" t="s">
        <v>36</v>
      </c>
    </row>
    <row r="50" spans="1:10" x14ac:dyDescent="0.55000000000000004">
      <c r="A50" s="2" t="s">
        <v>316</v>
      </c>
      <c r="B50" s="8">
        <v>3438388</v>
      </c>
      <c r="C50" s="8">
        <v>1731678</v>
      </c>
      <c r="D50" s="8"/>
      <c r="E50" s="8"/>
      <c r="F50" s="8"/>
      <c r="G50" s="8"/>
      <c r="H50" s="8">
        <v>5170066</v>
      </c>
      <c r="I50" s="2">
        <v>73</v>
      </c>
      <c r="J50" t="s">
        <v>36</v>
      </c>
    </row>
    <row r="51" spans="1:10" x14ac:dyDescent="0.55000000000000004">
      <c r="A51" s="2" t="s">
        <v>317</v>
      </c>
      <c r="B51" s="2"/>
      <c r="C51" s="2"/>
      <c r="D51" s="8">
        <v>6640849</v>
      </c>
      <c r="E51" s="2"/>
      <c r="F51" s="2"/>
      <c r="G51" s="2"/>
      <c r="H51" s="8">
        <v>6640849</v>
      </c>
      <c r="I51" s="2">
        <v>70</v>
      </c>
      <c r="J51" t="s">
        <v>36</v>
      </c>
    </row>
    <row r="52" spans="1:10" x14ac:dyDescent="0.55000000000000004">
      <c r="A52" s="2" t="s">
        <v>318</v>
      </c>
      <c r="B52" s="2"/>
      <c r="C52" s="2"/>
      <c r="D52" s="2"/>
      <c r="E52" s="2"/>
      <c r="F52" s="2"/>
      <c r="G52" s="2"/>
      <c r="H52" s="8"/>
      <c r="I52" s="2">
        <v>67</v>
      </c>
      <c r="J52" t="s">
        <v>61</v>
      </c>
    </row>
    <row r="53" spans="1:10" x14ac:dyDescent="0.55000000000000004">
      <c r="A53" s="2" t="s">
        <v>319</v>
      </c>
      <c r="B53" s="2"/>
      <c r="C53" s="2"/>
      <c r="D53" s="8">
        <v>12700000</v>
      </c>
      <c r="E53" s="2"/>
      <c r="F53" s="2"/>
      <c r="G53" s="2"/>
      <c r="H53" s="8">
        <v>12700000</v>
      </c>
      <c r="I53" s="2">
        <v>65</v>
      </c>
      <c r="J53" t="s">
        <v>36</v>
      </c>
    </row>
    <row r="54" spans="1:10" x14ac:dyDescent="0.55000000000000004">
      <c r="A54" s="2" t="s">
        <v>320</v>
      </c>
      <c r="B54" s="2"/>
      <c r="C54" s="2"/>
      <c r="D54" s="8">
        <v>9456309</v>
      </c>
      <c r="E54" s="2"/>
      <c r="F54" s="2"/>
      <c r="G54" s="2"/>
      <c r="H54" s="8">
        <v>9456309</v>
      </c>
      <c r="I54" s="2">
        <v>64</v>
      </c>
      <c r="J54" t="s">
        <v>36</v>
      </c>
    </row>
    <row r="55" spans="1:10" x14ac:dyDescent="0.55000000000000004">
      <c r="A55" s="2" t="s">
        <v>321</v>
      </c>
      <c r="B55" s="8">
        <v>11638000</v>
      </c>
      <c r="C55" s="8"/>
      <c r="D55" s="8"/>
      <c r="E55" s="8"/>
      <c r="F55" s="8"/>
      <c r="G55" s="8"/>
      <c r="H55" s="8">
        <v>11638000</v>
      </c>
      <c r="I55" s="2">
        <v>63</v>
      </c>
      <c r="J55" t="s">
        <v>36</v>
      </c>
    </row>
    <row r="56" spans="1:10" x14ac:dyDescent="0.55000000000000004">
      <c r="A56" s="2" t="s">
        <v>322</v>
      </c>
      <c r="B56" s="2"/>
      <c r="C56" s="2"/>
      <c r="D56" s="2"/>
      <c r="E56" s="8">
        <v>8682491</v>
      </c>
      <c r="F56" s="2"/>
      <c r="G56" s="2"/>
      <c r="H56" s="8">
        <v>8682491</v>
      </c>
      <c r="I56" s="2">
        <v>63</v>
      </c>
      <c r="J56" t="s">
        <v>36</v>
      </c>
    </row>
    <row r="57" spans="1:10" x14ac:dyDescent="0.55000000000000004">
      <c r="A57" s="2" t="s">
        <v>323</v>
      </c>
      <c r="B57" s="2"/>
      <c r="C57" s="2"/>
      <c r="D57" s="8">
        <v>23575495</v>
      </c>
      <c r="E57" s="2"/>
      <c r="F57" s="2"/>
      <c r="G57" s="2"/>
      <c r="H57" s="8">
        <v>23575495</v>
      </c>
      <c r="I57" s="2">
        <v>62</v>
      </c>
      <c r="J57" t="s">
        <v>36</v>
      </c>
    </row>
    <row r="58" spans="1:10" x14ac:dyDescent="0.55000000000000004">
      <c r="A58" s="2" t="s">
        <v>324</v>
      </c>
      <c r="B58" s="2"/>
      <c r="C58" s="2"/>
      <c r="D58" s="8">
        <v>8614895</v>
      </c>
      <c r="E58" s="2"/>
      <c r="F58" s="2"/>
      <c r="G58" s="2"/>
      <c r="H58" s="8">
        <v>8614895</v>
      </c>
      <c r="I58" s="2">
        <v>56</v>
      </c>
      <c r="J58" t="s">
        <v>36</v>
      </c>
    </row>
    <row r="59" spans="1:10" x14ac:dyDescent="0.55000000000000004">
      <c r="A59" s="2" t="s">
        <v>325</v>
      </c>
      <c r="B59" s="2"/>
      <c r="C59" s="2"/>
      <c r="D59" s="8">
        <v>7465335</v>
      </c>
      <c r="E59" s="2"/>
      <c r="F59" s="2"/>
      <c r="G59" s="2"/>
      <c r="H59" s="8">
        <v>7465335</v>
      </c>
      <c r="I59" s="2">
        <v>56</v>
      </c>
      <c r="J59" t="s">
        <v>36</v>
      </c>
    </row>
    <row r="60" spans="1:10" x14ac:dyDescent="0.55000000000000004">
      <c r="A60" s="2" t="s">
        <v>326</v>
      </c>
      <c r="B60" s="8">
        <v>3224000</v>
      </c>
      <c r="C60" s="8">
        <v>3108000</v>
      </c>
      <c r="D60" s="8"/>
      <c r="E60" s="8"/>
      <c r="F60" s="8"/>
      <c r="G60" s="8">
        <v>2735000</v>
      </c>
      <c r="H60" s="8">
        <v>9067000</v>
      </c>
      <c r="I60" s="2">
        <v>47</v>
      </c>
      <c r="J60" t="s">
        <v>36</v>
      </c>
    </row>
    <row r="61" spans="1:10" x14ac:dyDescent="0.55000000000000004">
      <c r="A61" s="9" t="s">
        <v>327</v>
      </c>
      <c r="B61" s="9"/>
      <c r="C61" s="9"/>
      <c r="E61" s="11">
        <v>11959373</v>
      </c>
      <c r="F61" s="9"/>
      <c r="H61" s="10">
        <v>11959373</v>
      </c>
      <c r="I61" s="9">
        <v>47</v>
      </c>
      <c r="J61" t="s">
        <v>36</v>
      </c>
    </row>
    <row r="62" spans="1:10" x14ac:dyDescent="0.55000000000000004">
      <c r="A62" s="9" t="s">
        <v>328</v>
      </c>
      <c r="B62" s="9"/>
      <c r="C62" s="9"/>
      <c r="D62" s="11">
        <v>7151365</v>
      </c>
      <c r="F62" s="9"/>
      <c r="H62" s="10">
        <v>7151365</v>
      </c>
      <c r="I62" s="9">
        <v>47</v>
      </c>
      <c r="J62" t="s">
        <v>36</v>
      </c>
    </row>
    <row r="63" spans="1:10" x14ac:dyDescent="0.55000000000000004">
      <c r="A63" s="9" t="s">
        <v>329</v>
      </c>
      <c r="B63" s="9"/>
      <c r="C63" s="9"/>
      <c r="D63" s="11">
        <v>15425000</v>
      </c>
      <c r="F63" s="9"/>
      <c r="H63" s="10">
        <v>15425000</v>
      </c>
      <c r="I63" s="9">
        <v>45</v>
      </c>
      <c r="J63" t="s">
        <v>36</v>
      </c>
    </row>
    <row r="64" spans="1:10" x14ac:dyDescent="0.55000000000000004">
      <c r="A64" s="9" t="s">
        <v>330</v>
      </c>
      <c r="B64" s="10">
        <v>4508686</v>
      </c>
      <c r="C64" s="10"/>
      <c r="D64" s="11">
        <v>3473170</v>
      </c>
      <c r="E64" s="11"/>
      <c r="F64" s="10"/>
      <c r="G64" s="11"/>
      <c r="H64" s="10">
        <v>7981856</v>
      </c>
      <c r="I64" s="9">
        <v>45</v>
      </c>
      <c r="J64" t="s">
        <v>36</v>
      </c>
    </row>
    <row r="65" spans="1:10" x14ac:dyDescent="0.55000000000000004">
      <c r="A65" s="9" t="s">
        <v>331</v>
      </c>
      <c r="B65" s="9"/>
      <c r="C65" s="9"/>
      <c r="E65" s="11">
        <v>34502771</v>
      </c>
      <c r="F65" s="9"/>
      <c r="H65" s="10">
        <v>34502771</v>
      </c>
      <c r="I65" s="9">
        <v>41</v>
      </c>
      <c r="J65" t="s">
        <v>36</v>
      </c>
    </row>
    <row r="66" spans="1:10" x14ac:dyDescent="0.55000000000000004">
      <c r="A66" s="9" t="s">
        <v>332</v>
      </c>
      <c r="B66" s="9"/>
      <c r="C66" s="9"/>
      <c r="F66" s="9"/>
      <c r="G66" s="11">
        <v>7230000</v>
      </c>
      <c r="H66" s="10">
        <v>7230000</v>
      </c>
      <c r="I66" s="9">
        <v>40</v>
      </c>
      <c r="J66" t="s">
        <v>36</v>
      </c>
    </row>
    <row r="67" spans="1:10" x14ac:dyDescent="0.55000000000000004">
      <c r="A67" s="9" t="s">
        <v>333</v>
      </c>
      <c r="B67" s="9"/>
      <c r="C67" s="9"/>
      <c r="F67" s="9"/>
      <c r="H67" s="10"/>
      <c r="I67" s="9">
        <v>37</v>
      </c>
      <c r="J67" t="s">
        <v>61</v>
      </c>
    </row>
    <row r="68" spans="1:10" x14ac:dyDescent="0.55000000000000004">
      <c r="A68" s="9" t="s">
        <v>334</v>
      </c>
      <c r="B68" s="9"/>
      <c r="C68" s="9"/>
      <c r="F68" s="9"/>
      <c r="H68" s="10"/>
      <c r="I68" s="9">
        <v>30</v>
      </c>
      <c r="J68" t="s">
        <v>61</v>
      </c>
    </row>
    <row r="69" spans="1:10" x14ac:dyDescent="0.55000000000000004">
      <c r="A69" s="9" t="s">
        <v>335</v>
      </c>
      <c r="B69" s="9"/>
      <c r="C69" s="9"/>
      <c r="F69" s="9"/>
      <c r="G69" s="11">
        <v>6450000</v>
      </c>
      <c r="H69" s="10">
        <v>6450000</v>
      </c>
      <c r="I69" s="9">
        <v>29</v>
      </c>
      <c r="J69" t="s">
        <v>36</v>
      </c>
    </row>
    <row r="70" spans="1:10" x14ac:dyDescent="0.55000000000000004">
      <c r="A70" s="9" t="s">
        <v>336</v>
      </c>
      <c r="B70" s="9"/>
      <c r="C70" s="9"/>
      <c r="F70" s="9"/>
      <c r="H70" s="10"/>
      <c r="I70" s="9">
        <v>26</v>
      </c>
      <c r="J70" t="s">
        <v>61</v>
      </c>
    </row>
    <row r="71" spans="1:10" x14ac:dyDescent="0.55000000000000004">
      <c r="A71" s="9" t="s">
        <v>337</v>
      </c>
      <c r="B71" s="9"/>
      <c r="C71" s="9"/>
      <c r="F71" s="9"/>
      <c r="H71" s="10"/>
      <c r="I71" s="9">
        <v>23</v>
      </c>
      <c r="J71" t="s">
        <v>61</v>
      </c>
    </row>
    <row r="72" spans="1:10" x14ac:dyDescent="0.55000000000000004">
      <c r="A72" s="9" t="s">
        <v>338</v>
      </c>
      <c r="B72" s="9"/>
      <c r="C72" s="9"/>
      <c r="F72" s="9"/>
      <c r="H72" s="10"/>
      <c r="I72" s="9">
        <v>17</v>
      </c>
      <c r="J72" t="s">
        <v>61</v>
      </c>
    </row>
    <row r="73" spans="1:10" x14ac:dyDescent="0.55000000000000004">
      <c r="A73" s="9" t="s">
        <v>339</v>
      </c>
      <c r="B73" s="9"/>
      <c r="C73" s="9"/>
      <c r="F73" s="9"/>
      <c r="H73" s="10"/>
      <c r="I73" s="9">
        <v>8</v>
      </c>
      <c r="J73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AA55-647B-422F-AE49-B06780D7390A}">
  <dimension ref="A1:J15"/>
  <sheetViews>
    <sheetView workbookViewId="0">
      <selection activeCell="I15" sqref="I15"/>
    </sheetView>
  </sheetViews>
  <sheetFormatPr defaultColWidth="8.83984375" defaultRowHeight="14.4" x14ac:dyDescent="0.55000000000000004"/>
  <cols>
    <col min="1" max="1" width="29" bestFit="1" customWidth="1"/>
    <col min="2" max="2" width="12.15625" bestFit="1" customWidth="1"/>
    <col min="3" max="3" width="11.15625" customWidth="1"/>
    <col min="4" max="4" width="12.83984375" bestFit="1" customWidth="1"/>
    <col min="5" max="5" width="12.15625" bestFit="1" customWidth="1"/>
    <col min="6" max="6" width="13.41796875" bestFit="1" customWidth="1"/>
    <col min="7" max="7" width="12.41796875" bestFit="1" customWidth="1"/>
    <col min="8" max="8" width="15.41796875" bestFit="1" customWidth="1"/>
    <col min="9" max="9" width="14.15625" customWidth="1"/>
    <col min="10" max="10" width="9.41796875" customWidth="1"/>
  </cols>
  <sheetData>
    <row r="1" spans="1:10" ht="28.8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55000000000000004">
      <c r="A2" s="1" t="s">
        <v>340</v>
      </c>
      <c r="B2" s="1"/>
      <c r="C2" s="1"/>
      <c r="D2" s="1"/>
      <c r="E2" s="1"/>
      <c r="F2" s="3">
        <v>100780000</v>
      </c>
      <c r="G2" s="3">
        <v>2700000</v>
      </c>
      <c r="H2" s="3">
        <v>103480000</v>
      </c>
      <c r="I2" s="1">
        <v>14915</v>
      </c>
      <c r="J2" t="s">
        <v>36</v>
      </c>
    </row>
    <row r="3" spans="1:10" x14ac:dyDescent="0.55000000000000004">
      <c r="A3" s="2" t="s">
        <v>341</v>
      </c>
      <c r="B3" s="4">
        <v>6039334</v>
      </c>
      <c r="C3" s="4"/>
      <c r="D3" s="4">
        <v>15509875</v>
      </c>
      <c r="E3" s="4"/>
      <c r="F3" s="4"/>
      <c r="G3" s="4">
        <v>10311923</v>
      </c>
      <c r="H3" s="4">
        <v>31861132</v>
      </c>
      <c r="I3" s="2">
        <v>2756</v>
      </c>
      <c r="J3" t="s">
        <v>36</v>
      </c>
    </row>
    <row r="4" spans="1:10" x14ac:dyDescent="0.55000000000000004">
      <c r="A4" s="1" t="s">
        <v>342</v>
      </c>
      <c r="B4" s="1"/>
      <c r="C4" s="1"/>
      <c r="D4" s="3">
        <v>37000000</v>
      </c>
      <c r="E4" s="1"/>
      <c r="F4" s="3">
        <v>17000000</v>
      </c>
      <c r="G4" s="3">
        <v>72000000</v>
      </c>
      <c r="H4" s="3">
        <v>126000000</v>
      </c>
      <c r="I4" s="1">
        <v>2340</v>
      </c>
      <c r="J4" t="s">
        <v>36</v>
      </c>
    </row>
    <row r="5" spans="1:10" x14ac:dyDescent="0.55000000000000004">
      <c r="A5" s="2" t="s">
        <v>343</v>
      </c>
      <c r="B5" s="2"/>
      <c r="C5" s="2"/>
      <c r="D5" s="4">
        <v>17578000</v>
      </c>
      <c r="E5" s="2"/>
      <c r="F5" s="2"/>
      <c r="G5" s="4">
        <v>7070000</v>
      </c>
      <c r="H5" s="4">
        <v>24648000</v>
      </c>
      <c r="I5" s="2">
        <v>1914</v>
      </c>
      <c r="J5" t="s">
        <v>36</v>
      </c>
    </row>
    <row r="6" spans="1:10" x14ac:dyDescent="0.55000000000000004">
      <c r="A6" s="1" t="s">
        <v>344</v>
      </c>
      <c r="B6" s="1"/>
      <c r="C6" s="1"/>
      <c r="D6" s="3">
        <v>17556240</v>
      </c>
      <c r="E6" s="3">
        <v>7745400</v>
      </c>
      <c r="F6" s="3">
        <v>27108900</v>
      </c>
      <c r="G6" s="3">
        <v>5163600</v>
      </c>
      <c r="H6" s="3">
        <v>57574140</v>
      </c>
      <c r="I6" s="1">
        <v>1902</v>
      </c>
      <c r="J6" t="s">
        <v>36</v>
      </c>
    </row>
    <row r="7" spans="1:10" x14ac:dyDescent="0.55000000000000004">
      <c r="A7" s="2" t="s">
        <v>345</v>
      </c>
      <c r="B7" s="2"/>
      <c r="C7" s="2"/>
      <c r="D7" s="2"/>
      <c r="E7" s="4">
        <v>16001999</v>
      </c>
      <c r="F7" s="2"/>
      <c r="G7" s="2"/>
      <c r="H7" s="4">
        <v>16001999</v>
      </c>
      <c r="I7" s="2">
        <v>1902</v>
      </c>
      <c r="J7" t="s">
        <v>36</v>
      </c>
    </row>
    <row r="8" spans="1:10" x14ac:dyDescent="0.55000000000000004">
      <c r="A8" s="1" t="s">
        <v>346</v>
      </c>
      <c r="B8" s="3">
        <v>21300000</v>
      </c>
      <c r="C8" s="3"/>
      <c r="D8" s="3"/>
      <c r="E8" s="3"/>
      <c r="F8" s="3"/>
      <c r="G8" s="3">
        <v>24440000</v>
      </c>
      <c r="H8" s="3">
        <v>45740000</v>
      </c>
      <c r="I8" s="1">
        <v>1820</v>
      </c>
      <c r="J8" t="s">
        <v>36</v>
      </c>
    </row>
    <row r="9" spans="1:10" x14ac:dyDescent="0.55000000000000004">
      <c r="A9" s="2" t="s">
        <v>347</v>
      </c>
      <c r="B9" s="2"/>
      <c r="C9" s="2"/>
      <c r="D9" s="4">
        <v>6490000</v>
      </c>
      <c r="E9" s="4">
        <v>18270000</v>
      </c>
      <c r="F9" s="2"/>
      <c r="G9" s="2"/>
      <c r="H9" s="4">
        <v>24760000</v>
      </c>
      <c r="I9" s="2">
        <v>1765</v>
      </c>
      <c r="J9" t="s">
        <v>36</v>
      </c>
    </row>
    <row r="10" spans="1:10" x14ac:dyDescent="0.55000000000000004">
      <c r="A10" s="1" t="s">
        <v>348</v>
      </c>
      <c r="B10" s="1"/>
      <c r="C10" s="1"/>
      <c r="D10" s="3">
        <v>5730332</v>
      </c>
      <c r="E10" s="3">
        <v>54916599</v>
      </c>
      <c r="F10" s="1"/>
      <c r="G10" s="1"/>
      <c r="H10" s="3">
        <v>60646931</v>
      </c>
      <c r="I10" s="1">
        <v>1362</v>
      </c>
      <c r="J10" t="s">
        <v>36</v>
      </c>
    </row>
    <row r="11" spans="1:10" x14ac:dyDescent="0.55000000000000004">
      <c r="A11" s="2" t="s">
        <v>349</v>
      </c>
      <c r="B11" s="4">
        <v>5041570</v>
      </c>
      <c r="C11" s="4"/>
      <c r="D11" s="4">
        <v>15846873</v>
      </c>
      <c r="E11" s="4"/>
      <c r="F11" s="4"/>
      <c r="G11" s="4">
        <v>5226972</v>
      </c>
      <c r="H11" s="4">
        <v>26115415</v>
      </c>
      <c r="I11" s="2">
        <v>1308</v>
      </c>
      <c r="J11" t="s">
        <v>36</v>
      </c>
    </row>
    <row r="12" spans="1:10" x14ac:dyDescent="0.55000000000000004">
      <c r="A12" s="1" t="s">
        <v>350</v>
      </c>
      <c r="B12" s="1"/>
      <c r="C12" s="1"/>
      <c r="D12" s="1"/>
      <c r="E12" s="1"/>
      <c r="F12" s="3">
        <v>122647818</v>
      </c>
      <c r="G12" s="1"/>
      <c r="H12" s="3">
        <v>122647818</v>
      </c>
      <c r="I12" s="1">
        <v>1197</v>
      </c>
      <c r="J12" t="s">
        <v>36</v>
      </c>
    </row>
    <row r="13" spans="1:10" x14ac:dyDescent="0.55000000000000004">
      <c r="A13" s="2" t="s">
        <v>351</v>
      </c>
      <c r="B13" s="2"/>
      <c r="C13" s="2"/>
      <c r="D13" s="2"/>
      <c r="E13" s="2"/>
      <c r="F13" s="2"/>
      <c r="G13" s="4">
        <v>17596156</v>
      </c>
      <c r="H13" s="4">
        <v>17596156</v>
      </c>
      <c r="I13" s="2">
        <v>1046</v>
      </c>
      <c r="J13" t="s">
        <v>36</v>
      </c>
    </row>
    <row r="14" spans="1:10" x14ac:dyDescent="0.55000000000000004">
      <c r="A14" s="1" t="s">
        <v>352</v>
      </c>
      <c r="B14" s="1"/>
      <c r="C14" s="1"/>
      <c r="D14" s="1"/>
      <c r="E14" s="1"/>
      <c r="F14" s="3">
        <v>5456796</v>
      </c>
      <c r="G14" s="1"/>
      <c r="H14" s="3">
        <v>5456796</v>
      </c>
      <c r="I14" s="1">
        <v>726</v>
      </c>
      <c r="J14" t="s">
        <v>36</v>
      </c>
    </row>
    <row r="15" spans="1:10" x14ac:dyDescent="0.55000000000000004">
      <c r="A15" s="2" t="s">
        <v>353</v>
      </c>
      <c r="B15" s="4">
        <v>3470373</v>
      </c>
      <c r="C15" s="4"/>
      <c r="D15" s="4"/>
      <c r="E15" s="4">
        <v>3796954</v>
      </c>
      <c r="F15" s="4"/>
      <c r="G15" s="4"/>
      <c r="H15" s="4">
        <v>7267327</v>
      </c>
      <c r="I15" s="2">
        <v>572</v>
      </c>
      <c r="J15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4FC7-870E-4477-B2F8-F25D5221DE9B}">
  <dimension ref="A1:N131"/>
  <sheetViews>
    <sheetView workbookViewId="0">
      <selection activeCell="A2" sqref="A2"/>
    </sheetView>
  </sheetViews>
  <sheetFormatPr defaultColWidth="8.83984375" defaultRowHeight="15" customHeight="1" x14ac:dyDescent="0.55000000000000004"/>
  <cols>
    <col min="1" max="1" width="36" bestFit="1" customWidth="1"/>
    <col min="2" max="2" width="36" customWidth="1"/>
    <col min="3" max="3" width="27.68359375" customWidth="1"/>
    <col min="4" max="4" width="25.41796875" customWidth="1"/>
    <col min="5" max="5" width="17.41796875" customWidth="1"/>
    <col min="6" max="6" width="13.83984375" bestFit="1" customWidth="1"/>
    <col min="7" max="8" width="18.41796875" customWidth="1"/>
    <col min="10" max="10" width="14" customWidth="1"/>
    <col min="11" max="11" width="11.26171875" customWidth="1"/>
    <col min="13" max="13" width="18.83984375" customWidth="1"/>
  </cols>
  <sheetData>
    <row r="1" spans="1:14" ht="15" customHeight="1" x14ac:dyDescent="0.55000000000000004">
      <c r="A1" s="16" t="s">
        <v>354</v>
      </c>
      <c r="B1" s="167" t="s">
        <v>355</v>
      </c>
      <c r="J1" s="14" t="s">
        <v>356</v>
      </c>
      <c r="K1" s="15" t="s">
        <v>357</v>
      </c>
      <c r="N1" s="66" t="s">
        <v>358</v>
      </c>
    </row>
    <row r="2" spans="1:14" ht="14.4" x14ac:dyDescent="0.55000000000000004">
      <c r="A2" s="23" t="s">
        <v>35</v>
      </c>
      <c r="B2" s="24"/>
      <c r="C2" s="14" t="s">
        <v>359</v>
      </c>
      <c r="D2" s="14" t="s">
        <v>360</v>
      </c>
      <c r="N2">
        <v>1</v>
      </c>
    </row>
    <row r="3" spans="1:14" ht="14.4" x14ac:dyDescent="0.55000000000000004">
      <c r="A3" s="2" t="s">
        <v>50</v>
      </c>
      <c r="C3" s="17" t="s">
        <v>53</v>
      </c>
      <c r="D3" s="18" t="s">
        <v>58</v>
      </c>
      <c r="E3" t="s">
        <v>56</v>
      </c>
      <c r="F3" t="s">
        <v>55</v>
      </c>
      <c r="G3" t="s">
        <v>51</v>
      </c>
      <c r="N3">
        <v>1</v>
      </c>
    </row>
    <row r="4" spans="1:14" ht="14.4" x14ac:dyDescent="0.55000000000000004">
      <c r="A4" s="23" t="s">
        <v>60</v>
      </c>
      <c r="B4" s="24"/>
      <c r="C4" t="s">
        <v>67</v>
      </c>
      <c r="D4" t="s">
        <v>361</v>
      </c>
      <c r="E4" t="s">
        <v>362</v>
      </c>
      <c r="N4">
        <v>1</v>
      </c>
    </row>
    <row r="5" spans="1:14" ht="14.4" x14ac:dyDescent="0.55000000000000004">
      <c r="A5" s="2" t="s">
        <v>69</v>
      </c>
      <c r="C5" s="15" t="s">
        <v>363</v>
      </c>
      <c r="D5" s="15" t="s">
        <v>364</v>
      </c>
      <c r="N5">
        <v>1</v>
      </c>
    </row>
    <row r="6" spans="1:14" ht="14.4" x14ac:dyDescent="0.55000000000000004">
      <c r="A6" s="24" t="s">
        <v>365</v>
      </c>
      <c r="B6" s="24"/>
      <c r="C6" s="14" t="s">
        <v>366</v>
      </c>
      <c r="D6" s="14" t="s">
        <v>367</v>
      </c>
      <c r="E6" s="14" t="s">
        <v>368</v>
      </c>
      <c r="N6">
        <v>1</v>
      </c>
    </row>
    <row r="7" spans="1:14" ht="14.4" x14ac:dyDescent="0.55000000000000004">
      <c r="A7" s="2" t="s">
        <v>75</v>
      </c>
      <c r="C7" t="s">
        <v>369</v>
      </c>
      <c r="D7" t="s">
        <v>370</v>
      </c>
      <c r="N7">
        <v>1</v>
      </c>
    </row>
    <row r="8" spans="1:14" ht="14.4" x14ac:dyDescent="0.55000000000000004">
      <c r="A8" s="23" t="s">
        <v>76</v>
      </c>
      <c r="B8" s="24"/>
      <c r="C8" s="14" t="s">
        <v>371</v>
      </c>
      <c r="N8">
        <v>1</v>
      </c>
    </row>
    <row r="9" spans="1:14" ht="14.4" x14ac:dyDescent="0.55000000000000004">
      <c r="A9" s="2" t="s">
        <v>83</v>
      </c>
      <c r="C9" s="19" t="s">
        <v>90</v>
      </c>
      <c r="D9" t="s">
        <v>84</v>
      </c>
      <c r="N9">
        <v>1</v>
      </c>
    </row>
    <row r="10" spans="1:14" ht="14.4" x14ac:dyDescent="0.55000000000000004">
      <c r="A10" s="23" t="s">
        <v>92</v>
      </c>
      <c r="B10" s="24"/>
    </row>
    <row r="11" spans="1:14" ht="14.4" x14ac:dyDescent="0.55000000000000004">
      <c r="A11" s="2" t="s">
        <v>101</v>
      </c>
    </row>
    <row r="12" spans="1:14" ht="14.4" x14ac:dyDescent="0.55000000000000004">
      <c r="A12" s="23" t="s">
        <v>107</v>
      </c>
      <c r="B12" s="24"/>
    </row>
    <row r="13" spans="1:14" ht="14.4" x14ac:dyDescent="0.55000000000000004">
      <c r="A13" s="2" t="s">
        <v>372</v>
      </c>
    </row>
    <row r="14" spans="1:14" ht="16.5" customHeight="1" x14ac:dyDescent="0.55000000000000004">
      <c r="A14" s="23" t="s">
        <v>118</v>
      </c>
      <c r="B14" s="24"/>
    </row>
    <row r="15" spans="1:14" ht="14.4" x14ac:dyDescent="0.55000000000000004">
      <c r="A15" s="2" t="s">
        <v>128</v>
      </c>
      <c r="C15" s="14" t="s">
        <v>373</v>
      </c>
      <c r="N15">
        <v>1</v>
      </c>
    </row>
    <row r="16" spans="1:14" ht="14.4" x14ac:dyDescent="0.55000000000000004">
      <c r="A16" s="23" t="s">
        <v>134</v>
      </c>
      <c r="B16" s="24"/>
      <c r="C16" s="19" t="s">
        <v>137</v>
      </c>
      <c r="D16" t="s">
        <v>374</v>
      </c>
      <c r="M16" s="25" t="s">
        <v>375</v>
      </c>
      <c r="N16">
        <v>1</v>
      </c>
    </row>
    <row r="17" spans="1:14" ht="14.4" x14ac:dyDescent="0.55000000000000004">
      <c r="A17" s="2" t="s">
        <v>141</v>
      </c>
      <c r="C17" s="14" t="s">
        <v>376</v>
      </c>
      <c r="D17" s="14" t="s">
        <v>144</v>
      </c>
      <c r="E17" s="14" t="s">
        <v>142</v>
      </c>
      <c r="N17">
        <v>1</v>
      </c>
    </row>
    <row r="18" spans="1:14" ht="14.4" x14ac:dyDescent="0.55000000000000004">
      <c r="A18" s="23" t="s">
        <v>152</v>
      </c>
      <c r="B18" s="24"/>
      <c r="C18" s="15" t="s">
        <v>153</v>
      </c>
      <c r="D18" s="15" t="s">
        <v>155</v>
      </c>
      <c r="N18">
        <v>1</v>
      </c>
    </row>
    <row r="19" spans="1:14" ht="14.4" x14ac:dyDescent="0.55000000000000004">
      <c r="A19" s="2" t="s">
        <v>163</v>
      </c>
      <c r="C19" t="s">
        <v>377</v>
      </c>
      <c r="D19" t="s">
        <v>378</v>
      </c>
      <c r="N19">
        <v>1</v>
      </c>
    </row>
    <row r="20" spans="1:14" ht="14.4" x14ac:dyDescent="0.55000000000000004">
      <c r="A20" s="23" t="s">
        <v>167</v>
      </c>
      <c r="B20" s="24"/>
    </row>
    <row r="21" spans="1:14" ht="14.4" x14ac:dyDescent="0.55000000000000004">
      <c r="A21" s="2" t="s">
        <v>173</v>
      </c>
      <c r="C21" s="15" t="s">
        <v>379</v>
      </c>
      <c r="D21" s="15" t="s">
        <v>380</v>
      </c>
      <c r="E21" s="14" t="s">
        <v>381</v>
      </c>
      <c r="F21" s="14" t="s">
        <v>382</v>
      </c>
      <c r="N21">
        <v>1</v>
      </c>
    </row>
    <row r="22" spans="1:14" ht="14.4" x14ac:dyDescent="0.55000000000000004">
      <c r="A22" s="23" t="s">
        <v>182</v>
      </c>
      <c r="B22" s="24"/>
      <c r="C22" t="s">
        <v>186</v>
      </c>
      <c r="D22" t="s">
        <v>383</v>
      </c>
      <c r="E22" t="s">
        <v>384</v>
      </c>
      <c r="F22" s="19" t="s">
        <v>132</v>
      </c>
      <c r="N22">
        <v>1</v>
      </c>
    </row>
    <row r="23" spans="1:14" ht="14.4" x14ac:dyDescent="0.55000000000000004">
      <c r="A23" s="2" t="s">
        <v>191</v>
      </c>
      <c r="C23" s="15" t="s">
        <v>198</v>
      </c>
      <c r="D23" t="s">
        <v>385</v>
      </c>
      <c r="N23">
        <v>1</v>
      </c>
    </row>
    <row r="24" spans="1:14" ht="14.4" x14ac:dyDescent="0.55000000000000004">
      <c r="A24" s="23" t="s">
        <v>202</v>
      </c>
      <c r="B24" s="24"/>
    </row>
    <row r="25" spans="1:14" ht="14.4" x14ac:dyDescent="0.55000000000000004">
      <c r="A25" t="s">
        <v>318</v>
      </c>
      <c r="C25" s="15" t="s">
        <v>386</v>
      </c>
      <c r="D25" s="15" t="s">
        <v>387</v>
      </c>
      <c r="N25">
        <v>1</v>
      </c>
    </row>
    <row r="26" spans="1:14" ht="14.4" x14ac:dyDescent="0.55000000000000004">
      <c r="A26" s="22" t="s">
        <v>212</v>
      </c>
      <c r="B26" s="24"/>
    </row>
    <row r="27" spans="1:14" ht="14.4" x14ac:dyDescent="0.55000000000000004">
      <c r="A27" t="s">
        <v>388</v>
      </c>
      <c r="C27" s="14" t="s">
        <v>389</v>
      </c>
      <c r="N27">
        <v>1</v>
      </c>
    </row>
    <row r="28" spans="1:14" ht="14.4" x14ac:dyDescent="0.55000000000000004">
      <c r="A28" s="22" t="s">
        <v>220</v>
      </c>
      <c r="B28" s="24"/>
    </row>
    <row r="29" spans="1:14" ht="14.4" x14ac:dyDescent="0.55000000000000004">
      <c r="A29" s="9" t="s">
        <v>222</v>
      </c>
    </row>
    <row r="30" spans="1:14" ht="14.4" x14ac:dyDescent="0.55000000000000004">
      <c r="A30" s="22" t="s">
        <v>225</v>
      </c>
      <c r="B30" s="24"/>
    </row>
    <row r="31" spans="1:14" ht="14.4" x14ac:dyDescent="0.55000000000000004">
      <c r="A31" s="9" t="s">
        <v>227</v>
      </c>
      <c r="C31" t="s">
        <v>390</v>
      </c>
      <c r="N31">
        <v>1</v>
      </c>
    </row>
    <row r="32" spans="1:14" ht="14.4" x14ac:dyDescent="0.55000000000000004">
      <c r="A32" s="22" t="s">
        <v>228</v>
      </c>
      <c r="B32" s="24"/>
      <c r="C32" s="15" t="s">
        <v>391</v>
      </c>
      <c r="D32" s="15" t="s">
        <v>392</v>
      </c>
      <c r="N32">
        <v>1</v>
      </c>
    </row>
    <row r="33" spans="1:14" ht="14.4" x14ac:dyDescent="0.55000000000000004">
      <c r="A33" s="9" t="s">
        <v>229</v>
      </c>
    </row>
    <row r="34" spans="1:14" ht="14.4" x14ac:dyDescent="0.55000000000000004">
      <c r="A34" s="22" t="s">
        <v>231</v>
      </c>
      <c r="B34" s="24"/>
    </row>
    <row r="35" spans="1:14" ht="14.4" x14ac:dyDescent="0.55000000000000004">
      <c r="A35" s="9" t="s">
        <v>240</v>
      </c>
    </row>
    <row r="36" spans="1:14" ht="14.4" x14ac:dyDescent="0.55000000000000004">
      <c r="A36" s="22" t="s">
        <v>250</v>
      </c>
      <c r="B36" s="24"/>
      <c r="C36" s="15" t="s">
        <v>251</v>
      </c>
      <c r="D36" s="15" t="s">
        <v>393</v>
      </c>
      <c r="E36" s="14" t="s">
        <v>394</v>
      </c>
      <c r="F36" s="14" t="s">
        <v>251</v>
      </c>
      <c r="G36" t="s">
        <v>395</v>
      </c>
      <c r="N36">
        <v>1</v>
      </c>
    </row>
    <row r="37" spans="1:14" ht="14.4" x14ac:dyDescent="0.55000000000000004">
      <c r="A37" s="9" t="s">
        <v>259</v>
      </c>
    </row>
    <row r="38" spans="1:14" ht="14.4" x14ac:dyDescent="0.55000000000000004">
      <c r="A38" s="22" t="s">
        <v>268</v>
      </c>
      <c r="B38" s="24"/>
    </row>
    <row r="39" spans="1:14" ht="14.4" x14ac:dyDescent="0.55000000000000004">
      <c r="A39" t="s">
        <v>396</v>
      </c>
      <c r="C39" s="14" t="s">
        <v>397</v>
      </c>
      <c r="D39" s="15" t="s">
        <v>398</v>
      </c>
      <c r="E39" s="15" t="s">
        <v>399</v>
      </c>
      <c r="F39" s="15" t="s">
        <v>400</v>
      </c>
      <c r="G39" s="14" t="s">
        <v>401</v>
      </c>
      <c r="H39" s="14" t="s">
        <v>402</v>
      </c>
      <c r="N39">
        <v>1</v>
      </c>
    </row>
    <row r="40" spans="1:14" ht="14.4" x14ac:dyDescent="0.55000000000000004">
      <c r="A40" s="20" t="s">
        <v>269</v>
      </c>
      <c r="B40" s="168"/>
      <c r="C40" t="s">
        <v>403</v>
      </c>
      <c r="D40" t="s">
        <v>404</v>
      </c>
      <c r="N40">
        <v>1</v>
      </c>
    </row>
    <row r="41" spans="1:14" ht="14.4" x14ac:dyDescent="0.55000000000000004">
      <c r="A41" s="21" t="s">
        <v>270</v>
      </c>
    </row>
    <row r="42" spans="1:14" ht="14.4" x14ac:dyDescent="0.55000000000000004">
      <c r="A42" s="20" t="s">
        <v>271</v>
      </c>
      <c r="B42" s="168"/>
    </row>
    <row r="43" spans="1:14" ht="14.4" x14ac:dyDescent="0.55000000000000004">
      <c r="A43" s="21" t="s">
        <v>128</v>
      </c>
      <c r="C43" s="15"/>
      <c r="N43">
        <v>1</v>
      </c>
    </row>
    <row r="44" spans="1:14" ht="14.4" x14ac:dyDescent="0.55000000000000004">
      <c r="A44" s="20" t="s">
        <v>272</v>
      </c>
      <c r="B44" s="168"/>
    </row>
    <row r="45" spans="1:14" ht="14.4" x14ac:dyDescent="0.55000000000000004">
      <c r="A45" s="21" t="s">
        <v>273</v>
      </c>
    </row>
    <row r="46" spans="1:14" ht="14.4" x14ac:dyDescent="0.55000000000000004">
      <c r="A46" s="20" t="s">
        <v>274</v>
      </c>
      <c r="B46" s="168"/>
    </row>
    <row r="47" spans="1:14" ht="14.4" x14ac:dyDescent="0.55000000000000004">
      <c r="A47" s="21" t="s">
        <v>275</v>
      </c>
      <c r="C47" t="s">
        <v>405</v>
      </c>
      <c r="D47" t="s">
        <v>406</v>
      </c>
      <c r="K47" s="49" t="s">
        <v>407</v>
      </c>
    </row>
    <row r="48" spans="1:14" ht="14.4" x14ac:dyDescent="0.55000000000000004">
      <c r="A48" s="20" t="s">
        <v>276</v>
      </c>
      <c r="B48" s="168"/>
      <c r="K48" t="s">
        <v>408</v>
      </c>
    </row>
    <row r="49" spans="1:11" ht="14.4" x14ac:dyDescent="0.55000000000000004">
      <c r="A49" s="21" t="s">
        <v>277</v>
      </c>
      <c r="K49" t="s">
        <v>409</v>
      </c>
    </row>
    <row r="50" spans="1:11" ht="14.4" x14ac:dyDescent="0.55000000000000004">
      <c r="A50" s="20" t="s">
        <v>278</v>
      </c>
      <c r="B50" s="168"/>
      <c r="K50" t="s">
        <v>410</v>
      </c>
    </row>
    <row r="51" spans="1:11" ht="14.4" x14ac:dyDescent="0.55000000000000004">
      <c r="A51" s="21" t="s">
        <v>279</v>
      </c>
      <c r="K51" t="s">
        <v>411</v>
      </c>
    </row>
    <row r="52" spans="1:11" ht="14.4" x14ac:dyDescent="0.55000000000000004">
      <c r="A52" s="20" t="s">
        <v>280</v>
      </c>
      <c r="B52" s="168"/>
      <c r="K52" t="s">
        <v>412</v>
      </c>
    </row>
    <row r="53" spans="1:11" ht="14.4" x14ac:dyDescent="0.55000000000000004">
      <c r="A53" s="21" t="s">
        <v>281</v>
      </c>
      <c r="K53" t="s">
        <v>413</v>
      </c>
    </row>
    <row r="54" spans="1:11" ht="14.4" x14ac:dyDescent="0.55000000000000004">
      <c r="A54" s="20" t="s">
        <v>282</v>
      </c>
      <c r="B54" s="168"/>
    </row>
    <row r="55" spans="1:11" ht="14.4" x14ac:dyDescent="0.55000000000000004">
      <c r="A55" s="21" t="s">
        <v>283</v>
      </c>
    </row>
    <row r="56" spans="1:11" ht="14.4" x14ac:dyDescent="0.55000000000000004">
      <c r="A56" s="20" t="s">
        <v>284</v>
      </c>
      <c r="B56" s="168"/>
      <c r="K56" s="49" t="s">
        <v>414</v>
      </c>
    </row>
    <row r="57" spans="1:11" ht="14.4" x14ac:dyDescent="0.55000000000000004">
      <c r="A57" s="21" t="s">
        <v>285</v>
      </c>
      <c r="K57" t="s">
        <v>415</v>
      </c>
    </row>
    <row r="58" spans="1:11" ht="14.4" x14ac:dyDescent="0.55000000000000004">
      <c r="A58" s="20" t="s">
        <v>286</v>
      </c>
      <c r="B58" s="168"/>
    </row>
    <row r="59" spans="1:11" ht="14.4" x14ac:dyDescent="0.55000000000000004">
      <c r="A59" s="21" t="s">
        <v>287</v>
      </c>
    </row>
    <row r="60" spans="1:11" ht="14.4" x14ac:dyDescent="0.55000000000000004">
      <c r="A60" s="20" t="s">
        <v>288</v>
      </c>
      <c r="B60" s="168"/>
    </row>
    <row r="61" spans="1:11" ht="14.4" x14ac:dyDescent="0.55000000000000004">
      <c r="A61" s="21" t="s">
        <v>289</v>
      </c>
    </row>
    <row r="62" spans="1:11" ht="14.4" x14ac:dyDescent="0.55000000000000004">
      <c r="A62" s="20" t="s">
        <v>290</v>
      </c>
      <c r="B62" s="168"/>
    </row>
    <row r="63" spans="1:11" ht="14.4" x14ac:dyDescent="0.55000000000000004">
      <c r="A63" s="21" t="s">
        <v>291</v>
      </c>
    </row>
    <row r="64" spans="1:11" ht="14.4" x14ac:dyDescent="0.55000000000000004">
      <c r="A64" s="20" t="s">
        <v>292</v>
      </c>
      <c r="B64" s="168"/>
    </row>
    <row r="65" spans="1:14" ht="14.4" x14ac:dyDescent="0.55000000000000004">
      <c r="A65" s="20" t="s">
        <v>294</v>
      </c>
      <c r="B65" s="168"/>
    </row>
    <row r="66" spans="1:14" ht="14.4" x14ac:dyDescent="0.55000000000000004">
      <c r="A66" s="21" t="s">
        <v>295</v>
      </c>
    </row>
    <row r="67" spans="1:14" ht="14.4" x14ac:dyDescent="0.55000000000000004">
      <c r="A67" s="20" t="s">
        <v>296</v>
      </c>
      <c r="B67" s="168"/>
    </row>
    <row r="68" spans="1:14" ht="14.4" x14ac:dyDescent="0.55000000000000004">
      <c r="A68" s="21" t="s">
        <v>297</v>
      </c>
      <c r="C68" t="s">
        <v>416</v>
      </c>
      <c r="D68" t="s">
        <v>417</v>
      </c>
      <c r="N68">
        <v>1</v>
      </c>
    </row>
    <row r="69" spans="1:14" ht="14.4" x14ac:dyDescent="0.55000000000000004">
      <c r="A69" s="20" t="s">
        <v>298</v>
      </c>
      <c r="B69" s="168"/>
    </row>
    <row r="70" spans="1:14" ht="14.4" x14ac:dyDescent="0.55000000000000004">
      <c r="A70" s="21" t="s">
        <v>299</v>
      </c>
    </row>
    <row r="71" spans="1:14" ht="14.4" x14ac:dyDescent="0.55000000000000004">
      <c r="A71" s="20" t="s">
        <v>300</v>
      </c>
      <c r="B71" s="168"/>
    </row>
    <row r="72" spans="1:14" ht="14.4" x14ac:dyDescent="0.55000000000000004">
      <c r="A72" s="21" t="s">
        <v>301</v>
      </c>
    </row>
    <row r="73" spans="1:14" ht="14.4" x14ac:dyDescent="0.55000000000000004">
      <c r="A73" s="20" t="s">
        <v>302</v>
      </c>
      <c r="B73" s="168"/>
    </row>
    <row r="74" spans="1:14" ht="14.4" x14ac:dyDescent="0.55000000000000004">
      <c r="A74" s="21" t="s">
        <v>303</v>
      </c>
    </row>
    <row r="75" spans="1:14" ht="14.4" x14ac:dyDescent="0.55000000000000004">
      <c r="A75" s="20" t="s">
        <v>304</v>
      </c>
      <c r="B75" s="168"/>
    </row>
    <row r="76" spans="1:14" ht="14.4" x14ac:dyDescent="0.55000000000000004">
      <c r="A76" s="21" t="s">
        <v>305</v>
      </c>
    </row>
    <row r="77" spans="1:14" ht="14.4" x14ac:dyDescent="0.55000000000000004">
      <c r="A77" s="20" t="s">
        <v>306</v>
      </c>
      <c r="B77" s="168"/>
    </row>
    <row r="78" spans="1:14" ht="14.4" x14ac:dyDescent="0.55000000000000004">
      <c r="A78" s="21" t="s">
        <v>307</v>
      </c>
    </row>
    <row r="79" spans="1:14" ht="14.4" x14ac:dyDescent="0.55000000000000004">
      <c r="A79" s="20" t="s">
        <v>308</v>
      </c>
      <c r="B79" s="168"/>
    </row>
    <row r="80" spans="1:14" ht="14.4" x14ac:dyDescent="0.55000000000000004">
      <c r="A80" s="21" t="s">
        <v>309</v>
      </c>
    </row>
    <row r="81" spans="1:2" ht="14.4" x14ac:dyDescent="0.55000000000000004">
      <c r="A81" s="20" t="s">
        <v>310</v>
      </c>
      <c r="B81" s="168"/>
    </row>
    <row r="82" spans="1:2" ht="14.4" x14ac:dyDescent="0.55000000000000004">
      <c r="A82" s="21" t="s">
        <v>311</v>
      </c>
    </row>
    <row r="83" spans="1:2" ht="14.4" x14ac:dyDescent="0.55000000000000004">
      <c r="A83" s="20" t="s">
        <v>312</v>
      </c>
      <c r="B83" s="168"/>
    </row>
    <row r="84" spans="1:2" ht="14.4" x14ac:dyDescent="0.55000000000000004">
      <c r="A84" s="21" t="s">
        <v>313</v>
      </c>
    </row>
    <row r="85" spans="1:2" ht="14.4" x14ac:dyDescent="0.55000000000000004">
      <c r="A85" s="20" t="s">
        <v>314</v>
      </c>
      <c r="B85" s="168"/>
    </row>
    <row r="86" spans="1:2" ht="14.4" x14ac:dyDescent="0.55000000000000004">
      <c r="A86" s="21" t="s">
        <v>315</v>
      </c>
    </row>
    <row r="87" spans="1:2" ht="14.4" x14ac:dyDescent="0.55000000000000004">
      <c r="A87" s="20" t="s">
        <v>316</v>
      </c>
      <c r="B87" s="168"/>
    </row>
    <row r="88" spans="1:2" ht="14.4" x14ac:dyDescent="0.55000000000000004">
      <c r="A88" s="21" t="s">
        <v>317</v>
      </c>
    </row>
    <row r="89" spans="1:2" ht="14.4" x14ac:dyDescent="0.55000000000000004">
      <c r="A89" s="20" t="s">
        <v>318</v>
      </c>
      <c r="B89" s="168"/>
    </row>
    <row r="90" spans="1:2" ht="14.4" x14ac:dyDescent="0.55000000000000004">
      <c r="A90" s="21" t="s">
        <v>319</v>
      </c>
    </row>
    <row r="91" spans="1:2" ht="14.4" x14ac:dyDescent="0.55000000000000004">
      <c r="A91" s="20" t="s">
        <v>320</v>
      </c>
      <c r="B91" s="168"/>
    </row>
    <row r="92" spans="1:2" ht="14.4" x14ac:dyDescent="0.55000000000000004">
      <c r="A92" s="21" t="s">
        <v>321</v>
      </c>
    </row>
    <row r="93" spans="1:2" ht="14.4" x14ac:dyDescent="0.55000000000000004">
      <c r="A93" s="20" t="s">
        <v>322</v>
      </c>
      <c r="B93" s="168"/>
    </row>
    <row r="94" spans="1:2" ht="14.4" x14ac:dyDescent="0.55000000000000004">
      <c r="A94" s="21" t="s">
        <v>323</v>
      </c>
    </row>
    <row r="95" spans="1:2" ht="14.4" x14ac:dyDescent="0.55000000000000004">
      <c r="A95" s="20" t="s">
        <v>324</v>
      </c>
      <c r="B95" s="168"/>
    </row>
    <row r="96" spans="1:2" ht="14.4" x14ac:dyDescent="0.55000000000000004">
      <c r="A96" s="21" t="s">
        <v>325</v>
      </c>
    </row>
    <row r="97" spans="1:2" ht="14.4" x14ac:dyDescent="0.55000000000000004">
      <c r="A97" s="20" t="s">
        <v>326</v>
      </c>
      <c r="B97" s="168"/>
    </row>
    <row r="98" spans="1:2" ht="14.4" x14ac:dyDescent="0.55000000000000004">
      <c r="A98" s="21" t="s">
        <v>327</v>
      </c>
    </row>
    <row r="99" spans="1:2" ht="14.4" x14ac:dyDescent="0.55000000000000004">
      <c r="A99" s="20" t="s">
        <v>328</v>
      </c>
      <c r="B99" s="168"/>
    </row>
    <row r="100" spans="1:2" ht="14.4" x14ac:dyDescent="0.55000000000000004">
      <c r="A100" s="21" t="s">
        <v>329</v>
      </c>
    </row>
    <row r="101" spans="1:2" ht="14.4" x14ac:dyDescent="0.55000000000000004">
      <c r="A101" s="20" t="s">
        <v>330</v>
      </c>
      <c r="B101" s="168"/>
    </row>
    <row r="102" spans="1:2" ht="14.4" x14ac:dyDescent="0.55000000000000004">
      <c r="A102" s="21" t="s">
        <v>331</v>
      </c>
    </row>
    <row r="103" spans="1:2" ht="14.4" x14ac:dyDescent="0.55000000000000004">
      <c r="A103" s="20" t="s">
        <v>332</v>
      </c>
      <c r="B103" s="168"/>
    </row>
    <row r="104" spans="1:2" ht="14.4" x14ac:dyDescent="0.55000000000000004">
      <c r="A104" s="21" t="s">
        <v>333</v>
      </c>
    </row>
    <row r="105" spans="1:2" ht="14.4" x14ac:dyDescent="0.55000000000000004">
      <c r="A105" s="20" t="s">
        <v>334</v>
      </c>
      <c r="B105" s="168"/>
    </row>
    <row r="106" spans="1:2" ht="14.4" x14ac:dyDescent="0.55000000000000004">
      <c r="A106" s="21" t="s">
        <v>335</v>
      </c>
    </row>
    <row r="107" spans="1:2" ht="14.4" x14ac:dyDescent="0.55000000000000004">
      <c r="A107" s="20" t="s">
        <v>336</v>
      </c>
      <c r="B107" s="168"/>
    </row>
    <row r="108" spans="1:2" ht="14.4" x14ac:dyDescent="0.55000000000000004">
      <c r="A108" s="21" t="s">
        <v>337</v>
      </c>
    </row>
    <row r="109" spans="1:2" ht="14.4" x14ac:dyDescent="0.55000000000000004">
      <c r="A109" s="20" t="s">
        <v>338</v>
      </c>
      <c r="B109" s="168"/>
    </row>
    <row r="110" spans="1:2" ht="14.4" x14ac:dyDescent="0.55000000000000004">
      <c r="A110" s="21" t="s">
        <v>339</v>
      </c>
    </row>
    <row r="111" spans="1:2" ht="14.4" x14ac:dyDescent="0.55000000000000004">
      <c r="A111" s="20" t="s">
        <v>340</v>
      </c>
      <c r="B111" s="168"/>
    </row>
    <row r="112" spans="1:2" ht="14.4" x14ac:dyDescent="0.55000000000000004">
      <c r="A112" s="21" t="s">
        <v>341</v>
      </c>
    </row>
    <row r="113" spans="1:14" ht="14.4" x14ac:dyDescent="0.55000000000000004">
      <c r="A113" s="20" t="s">
        <v>342</v>
      </c>
      <c r="B113" s="168"/>
    </row>
    <row r="114" spans="1:14" ht="14.4" x14ac:dyDescent="0.55000000000000004">
      <c r="A114" s="21" t="s">
        <v>343</v>
      </c>
    </row>
    <row r="115" spans="1:14" ht="14.4" x14ac:dyDescent="0.55000000000000004">
      <c r="A115" s="20" t="s">
        <v>344</v>
      </c>
      <c r="B115" s="168"/>
    </row>
    <row r="116" spans="1:14" ht="14.4" x14ac:dyDescent="0.55000000000000004">
      <c r="A116" s="21" t="s">
        <v>345</v>
      </c>
    </row>
    <row r="117" spans="1:14" ht="14.4" x14ac:dyDescent="0.55000000000000004">
      <c r="A117" s="20" t="s">
        <v>346</v>
      </c>
      <c r="B117" s="168"/>
    </row>
    <row r="118" spans="1:14" ht="14.4" x14ac:dyDescent="0.55000000000000004">
      <c r="A118" s="21" t="s">
        <v>347</v>
      </c>
    </row>
    <row r="119" spans="1:14" ht="14.4" x14ac:dyDescent="0.55000000000000004">
      <c r="A119" s="20" t="s">
        <v>348</v>
      </c>
      <c r="B119" s="168"/>
    </row>
    <row r="120" spans="1:14" ht="14.4" x14ac:dyDescent="0.55000000000000004">
      <c r="A120" s="21" t="s">
        <v>349</v>
      </c>
    </row>
    <row r="121" spans="1:14" ht="14.4" x14ac:dyDescent="0.55000000000000004">
      <c r="A121" s="20" t="s">
        <v>350</v>
      </c>
      <c r="B121" s="168"/>
    </row>
    <row r="122" spans="1:14" ht="14.4" x14ac:dyDescent="0.55000000000000004">
      <c r="A122" s="21" t="s">
        <v>351</v>
      </c>
    </row>
    <row r="123" spans="1:14" ht="14.4" x14ac:dyDescent="0.55000000000000004">
      <c r="A123" s="20" t="s">
        <v>352</v>
      </c>
      <c r="B123" s="168"/>
    </row>
    <row r="124" spans="1:14" ht="14.4" x14ac:dyDescent="0.55000000000000004">
      <c r="A124" s="21" t="s">
        <v>353</v>
      </c>
    </row>
    <row r="125" spans="1:14" ht="14.4" x14ac:dyDescent="0.55000000000000004">
      <c r="A125" s="24" t="s">
        <v>418</v>
      </c>
      <c r="B125" s="24"/>
      <c r="C125" s="19" t="s">
        <v>419</v>
      </c>
      <c r="D125" t="s">
        <v>420</v>
      </c>
      <c r="E125" s="26" t="s">
        <v>421</v>
      </c>
      <c r="F125" t="s">
        <v>422</v>
      </c>
      <c r="N125">
        <v>1</v>
      </c>
    </row>
    <row r="126" spans="1:14" ht="14.4" x14ac:dyDescent="0.55000000000000004">
      <c r="A126" s="21" t="s">
        <v>423</v>
      </c>
    </row>
    <row r="127" spans="1:14" ht="14.4" x14ac:dyDescent="0.55000000000000004">
      <c r="A127" s="20" t="s">
        <v>424</v>
      </c>
      <c r="B127" s="168"/>
      <c r="C127" t="s">
        <v>425</v>
      </c>
      <c r="D127" t="s">
        <v>426</v>
      </c>
      <c r="N127">
        <v>1</v>
      </c>
    </row>
    <row r="128" spans="1:14" ht="14.4" x14ac:dyDescent="0.55000000000000004">
      <c r="A128" s="21" t="s">
        <v>423</v>
      </c>
    </row>
    <row r="129" spans="1:14" ht="14.4" x14ac:dyDescent="0.55000000000000004">
      <c r="A129" s="24" t="s">
        <v>427</v>
      </c>
      <c r="B129" s="24"/>
    </row>
    <row r="130" spans="1:14" ht="14.4" x14ac:dyDescent="0.55000000000000004">
      <c r="A130" s="21" t="s">
        <v>428</v>
      </c>
      <c r="C130" t="s">
        <v>429</v>
      </c>
      <c r="D130" t="s">
        <v>430</v>
      </c>
      <c r="E130" t="s">
        <v>431</v>
      </c>
      <c r="F130" t="s">
        <v>432</v>
      </c>
      <c r="G130" t="s">
        <v>433</v>
      </c>
      <c r="H130" t="s">
        <v>434</v>
      </c>
      <c r="N130">
        <v>1</v>
      </c>
    </row>
    <row r="131" spans="1:14" ht="14.4" x14ac:dyDescent="0.55000000000000004">
      <c r="M131" s="61" t="s">
        <v>435</v>
      </c>
      <c r="N131">
        <f>SUM(N2:N130)</f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E32B-0AED-4AB7-96EF-F04419081150}">
  <dimension ref="A1:W170"/>
  <sheetViews>
    <sheetView topLeftCell="Z18" workbookViewId="0">
      <selection activeCell="Z18" sqref="Z18"/>
    </sheetView>
  </sheetViews>
  <sheetFormatPr defaultColWidth="8.83984375" defaultRowHeight="14.4" x14ac:dyDescent="0.55000000000000004"/>
  <cols>
    <col min="1" max="1" width="30.83984375" customWidth="1"/>
    <col min="3" max="3" width="19.15625" customWidth="1"/>
    <col min="10" max="15" width="0" hidden="1" customWidth="1"/>
    <col min="18" max="18" width="0" hidden="1" customWidth="1"/>
    <col min="20" max="20" width="0" hidden="1" customWidth="1"/>
    <col min="22" max="22" width="0" hidden="1" customWidth="1"/>
  </cols>
  <sheetData>
    <row r="1" spans="1:23" ht="43.2" x14ac:dyDescent="0.55000000000000004">
      <c r="A1" s="7" t="s">
        <v>436</v>
      </c>
      <c r="B1" s="7" t="s">
        <v>437</v>
      </c>
      <c r="C1" s="7" t="s">
        <v>438</v>
      </c>
      <c r="D1" s="7" t="s">
        <v>439</v>
      </c>
      <c r="E1" s="7" t="s">
        <v>440</v>
      </c>
      <c r="F1" s="7" t="s">
        <v>441</v>
      </c>
      <c r="G1" s="7" t="s">
        <v>442</v>
      </c>
      <c r="H1" s="7" t="s">
        <v>443</v>
      </c>
      <c r="I1" s="7" t="s">
        <v>444</v>
      </c>
      <c r="J1" s="7" t="s">
        <v>445</v>
      </c>
      <c r="K1" s="7" t="s">
        <v>446</v>
      </c>
      <c r="L1" s="7" t="s">
        <v>447</v>
      </c>
      <c r="M1" s="7" t="s">
        <v>448</v>
      </c>
      <c r="N1" s="7" t="s">
        <v>449</v>
      </c>
      <c r="O1" s="7" t="s">
        <v>450</v>
      </c>
      <c r="P1" s="7" t="s">
        <v>451</v>
      </c>
      <c r="Q1" s="7" t="s">
        <v>452</v>
      </c>
      <c r="R1" s="7" t="s">
        <v>453</v>
      </c>
      <c r="S1" s="7" t="s">
        <v>454</v>
      </c>
      <c r="T1" s="7" t="s">
        <v>455</v>
      </c>
      <c r="U1" s="7" t="s">
        <v>456</v>
      </c>
      <c r="V1" s="7" t="s">
        <v>457</v>
      </c>
      <c r="W1" s="7" t="s">
        <v>458</v>
      </c>
    </row>
    <row r="2" spans="1:23" x14ac:dyDescent="0.55000000000000004">
      <c r="A2" t="s">
        <v>60</v>
      </c>
      <c r="B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23.5</v>
      </c>
      <c r="C2" t="s">
        <v>459</v>
      </c>
      <c r="D2" s="94" t="s">
        <v>460</v>
      </c>
      <c r="E2" s="94" t="s">
        <v>460</v>
      </c>
      <c r="F2" s="94" t="s">
        <v>460</v>
      </c>
      <c r="G2" s="94" t="s">
        <v>460</v>
      </c>
      <c r="H2" s="94" t="s">
        <v>460</v>
      </c>
      <c r="I2" s="94" t="s">
        <v>460</v>
      </c>
      <c r="J2" s="98">
        <f>IF(Table1[[#This Row],[CIV]]="⮽",0,1)*1.5</f>
        <v>1.5</v>
      </c>
      <c r="K2" s="98">
        <f>IF(Table1[[#This Row],[ARC]]="⮽",0,1)*3</f>
        <v>3</v>
      </c>
      <c r="L2" s="98">
        <f>IF(Table1[[#This Row],[STR]]="⮽",0,1)*2</f>
        <v>2</v>
      </c>
      <c r="M2" s="98">
        <f>IF(Table1[[#This Row],[MP]]="⮽",0,1)</f>
        <v>1</v>
      </c>
      <c r="N2" s="98">
        <f>IF(Table1[[#This Row],[ELE]]="⮽",0,1)</f>
        <v>1</v>
      </c>
      <c r="O2" s="98">
        <f>IF(Table1[[#This Row],[FP]]="⮽",0,1)</f>
        <v>1</v>
      </c>
      <c r="P2">
        <v>3</v>
      </c>
      <c r="Q2" t="s">
        <v>461</v>
      </c>
      <c r="R2" s="101">
        <f>IF(Table1[[#This Row],[Size (S, M, L)]]="S",2,IF(Table1[[#This Row],[Size (S, M, L)]]="L",1,4))</f>
        <v>4</v>
      </c>
      <c r="S2" t="s">
        <v>462</v>
      </c>
      <c r="T2" s="101">
        <f>IF(Table1[[#This Row],[TZone]]="EST",4,IF(Table1[[#This Row],[TZone]]="CST",3,IF(Table1[[#This Row],[TZone]]="MST",2,1)))</f>
        <v>4</v>
      </c>
      <c r="U2" t="s">
        <v>463</v>
      </c>
      <c r="V2" s="101">
        <f>IF(Table1[[#This Row],[Low-cost office?]]="Yes",-4,0)</f>
        <v>0</v>
      </c>
    </row>
    <row r="3" spans="1:23" x14ac:dyDescent="0.55000000000000004">
      <c r="A3" t="s">
        <v>128</v>
      </c>
      <c r="B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23.5</v>
      </c>
      <c r="C3" t="s">
        <v>464</v>
      </c>
      <c r="D3" s="94" t="s">
        <v>460</v>
      </c>
      <c r="E3" s="94" t="s">
        <v>460</v>
      </c>
      <c r="F3" s="94" t="s">
        <v>460</v>
      </c>
      <c r="G3" s="94" t="s">
        <v>460</v>
      </c>
      <c r="H3" s="94" t="s">
        <v>460</v>
      </c>
      <c r="I3" s="94" t="s">
        <v>460</v>
      </c>
      <c r="J3" s="98">
        <f>IF(Table1[[#This Row],[CIV]]="⮽",0,1)*1.5</f>
        <v>1.5</v>
      </c>
      <c r="K3" s="98">
        <f>IF(Table1[[#This Row],[ARC]]="⮽",0,1)*3</f>
        <v>3</v>
      </c>
      <c r="L3" s="98">
        <f>IF(Table1[[#This Row],[STR]]="⮽",0,1)*2</f>
        <v>2</v>
      </c>
      <c r="M3" s="98">
        <f>IF(Table1[[#This Row],[MP]]="⮽",0,1)</f>
        <v>1</v>
      </c>
      <c r="N3" s="98">
        <f>IF(Table1[[#This Row],[ELE]]="⮽",0,1)</f>
        <v>1</v>
      </c>
      <c r="O3" s="98">
        <f>IF(Table1[[#This Row],[FP]]="⮽",0,1)</f>
        <v>1</v>
      </c>
      <c r="P3">
        <v>3</v>
      </c>
      <c r="Q3" t="s">
        <v>461</v>
      </c>
      <c r="R3" s="101">
        <f>IF(Table1[[#This Row],[Size (S, M, L)]]="S",2,IF(Table1[[#This Row],[Size (S, M, L)]]="L",1,4))</f>
        <v>4</v>
      </c>
      <c r="S3" t="s">
        <v>462</v>
      </c>
      <c r="T3" s="101">
        <f>IF(Table1[[#This Row],[TZone]]="EST",4,IF(Table1[[#This Row],[TZone]]="CST",3,IF(Table1[[#This Row],[TZone]]="MST",2,1)))</f>
        <v>4</v>
      </c>
      <c r="U3" t="s">
        <v>463</v>
      </c>
      <c r="V3" s="101">
        <f>IF(Table1[[#This Row],[Low-cost office?]]="Yes",-4,0)</f>
        <v>0</v>
      </c>
    </row>
    <row r="4" spans="1:23" x14ac:dyDescent="0.55000000000000004">
      <c r="A4" t="s">
        <v>228</v>
      </c>
      <c r="B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22.5</v>
      </c>
      <c r="C4" t="s">
        <v>459</v>
      </c>
      <c r="D4" s="95" t="s">
        <v>460</v>
      </c>
      <c r="E4" s="95" t="s">
        <v>460</v>
      </c>
      <c r="F4" s="95" t="s">
        <v>460</v>
      </c>
      <c r="G4" s="95" t="s">
        <v>460</v>
      </c>
      <c r="H4" s="95" t="s">
        <v>460</v>
      </c>
      <c r="I4" s="95" t="s">
        <v>460</v>
      </c>
      <c r="J4" s="99">
        <f>IF(Table1[[#This Row],[CIV]]="⮽",0,1)*1.5</f>
        <v>1.5</v>
      </c>
      <c r="K4" s="99">
        <f>IF(Table1[[#This Row],[ARC]]="⮽",0,1)*3</f>
        <v>3</v>
      </c>
      <c r="L4" s="99">
        <f>IF(Table1[[#This Row],[STR]]="⮽",0,1)*2</f>
        <v>2</v>
      </c>
      <c r="M4" s="99">
        <f>IF(Table1[[#This Row],[MP]]="⮽",0,1)</f>
        <v>1</v>
      </c>
      <c r="N4" s="99">
        <f>IF(Table1[[#This Row],[ELE]]="⮽",0,1)</f>
        <v>1</v>
      </c>
      <c r="O4" s="99">
        <f>IF(Table1[[#This Row],[FP]]="⮽",0,1)</f>
        <v>1</v>
      </c>
      <c r="P4">
        <v>3</v>
      </c>
      <c r="Q4" t="s">
        <v>461</v>
      </c>
      <c r="R4" s="101">
        <f>IF(Table1[[#This Row],[Size (S, M, L)]]="S",2,IF(Table1[[#This Row],[Size (S, M, L)]]="L",1,4))</f>
        <v>4</v>
      </c>
      <c r="S4" t="s">
        <v>465</v>
      </c>
      <c r="T4" s="101">
        <f>IF(Table1[[#This Row],[TZone]]="EST",4,IF(Table1[[#This Row],[TZone]]="CST",3,IF(Table1[[#This Row],[TZone]]="MST",2,1)))</f>
        <v>3</v>
      </c>
      <c r="U4" t="s">
        <v>463</v>
      </c>
      <c r="V4" s="101">
        <f>IF(Table1[[#This Row],[Low-cost office?]]="Yes",-4,0)</f>
        <v>0</v>
      </c>
    </row>
    <row r="5" spans="1:23" x14ac:dyDescent="0.55000000000000004">
      <c r="A5" t="s">
        <v>466</v>
      </c>
      <c r="B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22.5</v>
      </c>
      <c r="C5" t="s">
        <v>467</v>
      </c>
      <c r="D5" s="95" t="s">
        <v>460</v>
      </c>
      <c r="E5" s="95" t="s">
        <v>460</v>
      </c>
      <c r="F5" s="95" t="s">
        <v>460</v>
      </c>
      <c r="G5" s="95" t="s">
        <v>460</v>
      </c>
      <c r="H5" s="95" t="s">
        <v>460</v>
      </c>
      <c r="I5" s="95" t="s">
        <v>460</v>
      </c>
      <c r="J5" s="99">
        <f>IF(Table1[[#This Row],[CIV]]="⮽",0,1)*1.5</f>
        <v>1.5</v>
      </c>
      <c r="K5" s="99">
        <f>IF(Table1[[#This Row],[ARC]]="⮽",0,1)*3</f>
        <v>3</v>
      </c>
      <c r="L5" s="99">
        <f>IF(Table1[[#This Row],[STR]]="⮽",0,1)*2</f>
        <v>2</v>
      </c>
      <c r="M5" s="99">
        <f>IF(Table1[[#This Row],[MP]]="⮽",0,1)</f>
        <v>1</v>
      </c>
      <c r="N5" s="99">
        <f>IF(Table1[[#This Row],[ELE]]="⮽",0,1)</f>
        <v>1</v>
      </c>
      <c r="O5" s="99">
        <f>IF(Table1[[#This Row],[FP]]="⮽",0,1)</f>
        <v>1</v>
      </c>
      <c r="P5">
        <v>3</v>
      </c>
      <c r="Q5" t="s">
        <v>461</v>
      </c>
      <c r="R5" s="101">
        <f>IF(Table1[[#This Row],[Size (S, M, L)]]="S",2,IF(Table1[[#This Row],[Size (S, M, L)]]="L",1,4))</f>
        <v>4</v>
      </c>
      <c r="S5" t="s">
        <v>465</v>
      </c>
      <c r="T5" s="101">
        <f>IF(Table1[[#This Row],[TZone]]="EST",4,IF(Table1[[#This Row],[TZone]]="CST",3,IF(Table1[[#This Row],[TZone]]="MST",2,1)))</f>
        <v>3</v>
      </c>
      <c r="U5" t="s">
        <v>463</v>
      </c>
      <c r="V5" s="101">
        <f>IF(Table1[[#This Row],[Low-cost office?]]="Yes",-4,0)</f>
        <v>0</v>
      </c>
    </row>
    <row r="6" spans="1:23" x14ac:dyDescent="0.55000000000000004">
      <c r="A6" s="96" t="s">
        <v>468</v>
      </c>
      <c r="B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22.5</v>
      </c>
      <c r="C6" t="s">
        <v>469</v>
      </c>
      <c r="D6" s="95" t="s">
        <v>460</v>
      </c>
      <c r="E6" s="95" t="s">
        <v>460</v>
      </c>
      <c r="F6" s="95" t="s">
        <v>460</v>
      </c>
      <c r="G6" s="95" t="s">
        <v>460</v>
      </c>
      <c r="H6" s="95" t="s">
        <v>460</v>
      </c>
      <c r="I6" s="94" t="s">
        <v>470</v>
      </c>
      <c r="J6" s="98">
        <f>IF(Table1[[#This Row],[CIV]]="⮽",0,1)*1.5</f>
        <v>1.5</v>
      </c>
      <c r="K6" s="98">
        <f>IF(Table1[[#This Row],[ARC]]="⮽",0,1)*3</f>
        <v>3</v>
      </c>
      <c r="L6" s="98">
        <f>IF(Table1[[#This Row],[STR]]="⮽",0,1)*2</f>
        <v>2</v>
      </c>
      <c r="M6" s="98">
        <f>IF(Table1[[#This Row],[MP]]="⮽",0,1)</f>
        <v>1</v>
      </c>
      <c r="N6" s="98">
        <f>IF(Table1[[#This Row],[ELE]]="⮽",0,1)</f>
        <v>1</v>
      </c>
      <c r="O6" s="98">
        <f>IF(Table1[[#This Row],[FP]]="⮽",0,1)</f>
        <v>0</v>
      </c>
      <c r="P6">
        <v>3</v>
      </c>
      <c r="Q6" t="s">
        <v>461</v>
      </c>
      <c r="R6" s="101">
        <f>IF(Table1[[#This Row],[Size (S, M, L)]]="S",2,IF(Table1[[#This Row],[Size (S, M, L)]]="L",1,4))</f>
        <v>4</v>
      </c>
      <c r="S6" t="s">
        <v>462</v>
      </c>
      <c r="T6" s="101">
        <f>IF(Table1[[#This Row],[TZone]]="EST",4,IF(Table1[[#This Row],[TZone]]="CST",3,IF(Table1[[#This Row],[TZone]]="MST",2,1)))</f>
        <v>4</v>
      </c>
      <c r="U6" t="s">
        <v>463</v>
      </c>
      <c r="V6" s="101">
        <f>IF(Table1[[#This Row],[Low-cost office?]]="Yes",-4,0)</f>
        <v>0</v>
      </c>
    </row>
    <row r="7" spans="1:23" x14ac:dyDescent="0.55000000000000004">
      <c r="A7" t="s">
        <v>108</v>
      </c>
      <c r="B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21.5</v>
      </c>
      <c r="C7" t="s">
        <v>459</v>
      </c>
      <c r="D7" s="94" t="s">
        <v>460</v>
      </c>
      <c r="E7" s="94" t="s">
        <v>460</v>
      </c>
      <c r="F7" s="94" t="s">
        <v>460</v>
      </c>
      <c r="G7" s="94" t="s">
        <v>460</v>
      </c>
      <c r="H7" s="94" t="s">
        <v>460</v>
      </c>
      <c r="I7" s="94" t="s">
        <v>460</v>
      </c>
      <c r="J7" s="99">
        <f>IF(Table1[[#This Row],[CIV]]="⮽",0,1)*1.5</f>
        <v>1.5</v>
      </c>
      <c r="K7" s="99">
        <f>IF(Table1[[#This Row],[ARC]]="⮽",0,1)*3</f>
        <v>3</v>
      </c>
      <c r="L7" s="99">
        <f>IF(Table1[[#This Row],[STR]]="⮽",0,1)*2</f>
        <v>2</v>
      </c>
      <c r="M7" s="99">
        <f>IF(Table1[[#This Row],[MP]]="⮽",0,1)</f>
        <v>1</v>
      </c>
      <c r="N7" s="99">
        <f>IF(Table1[[#This Row],[ELE]]="⮽",0,1)</f>
        <v>1</v>
      </c>
      <c r="O7" s="99">
        <f>IF(Table1[[#This Row],[FP]]="⮽",0,1)</f>
        <v>1</v>
      </c>
      <c r="P7">
        <v>2</v>
      </c>
      <c r="Q7" t="s">
        <v>461</v>
      </c>
      <c r="R7" s="101">
        <f>IF(Table1[[#This Row],[Size (S, M, L)]]="S",2,IF(Table1[[#This Row],[Size (S, M, L)]]="L",1,4))</f>
        <v>4</v>
      </c>
      <c r="S7" t="s">
        <v>462</v>
      </c>
      <c r="T7" s="101">
        <f>IF(Table1[[#This Row],[TZone]]="EST",4,IF(Table1[[#This Row],[TZone]]="CST",3,IF(Table1[[#This Row],[TZone]]="MST",2,1)))</f>
        <v>4</v>
      </c>
      <c r="U7" t="s">
        <v>463</v>
      </c>
      <c r="V7" s="101">
        <f>IF(Table1[[#This Row],[Low-cost office?]]="Yes",-4,0)</f>
        <v>0</v>
      </c>
    </row>
    <row r="8" spans="1:23" x14ac:dyDescent="0.55000000000000004">
      <c r="A8" t="s">
        <v>471</v>
      </c>
      <c r="B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21.5</v>
      </c>
      <c r="C8" t="s">
        <v>467</v>
      </c>
      <c r="D8" s="95" t="s">
        <v>460</v>
      </c>
      <c r="E8" s="95" t="s">
        <v>460</v>
      </c>
      <c r="F8" s="95" t="s">
        <v>460</v>
      </c>
      <c r="G8" s="95" t="s">
        <v>460</v>
      </c>
      <c r="H8" s="95" t="s">
        <v>460</v>
      </c>
      <c r="I8" s="95" t="s">
        <v>470</v>
      </c>
      <c r="J8" s="99">
        <f>IF(Table1[[#This Row],[CIV]]="⮽",0,1)*1.5</f>
        <v>1.5</v>
      </c>
      <c r="K8" s="99">
        <f>IF(Table1[[#This Row],[ARC]]="⮽",0,1)*3</f>
        <v>3</v>
      </c>
      <c r="L8" s="99">
        <f>IF(Table1[[#This Row],[STR]]="⮽",0,1)*2</f>
        <v>2</v>
      </c>
      <c r="M8" s="99">
        <f>IF(Table1[[#This Row],[MP]]="⮽",0,1)</f>
        <v>1</v>
      </c>
      <c r="N8" s="99">
        <f>IF(Table1[[#This Row],[ELE]]="⮽",0,1)</f>
        <v>1</v>
      </c>
      <c r="O8" s="99">
        <f>IF(Table1[[#This Row],[FP]]="⮽",0,1)</f>
        <v>0</v>
      </c>
      <c r="P8">
        <v>3</v>
      </c>
      <c r="Q8" t="s">
        <v>461</v>
      </c>
      <c r="R8" s="101">
        <f>IF(Table1[[#This Row],[Size (S, M, L)]]="S",2,IF(Table1[[#This Row],[Size (S, M, L)]]="L",1,4))</f>
        <v>4</v>
      </c>
      <c r="S8" t="s">
        <v>465</v>
      </c>
      <c r="T8" s="101">
        <f>IF(Table1[[#This Row],[TZone]]="EST",4,IF(Table1[[#This Row],[TZone]]="CST",3,IF(Table1[[#This Row],[TZone]]="MST",2,1)))</f>
        <v>3</v>
      </c>
      <c r="U8" t="s">
        <v>463</v>
      </c>
      <c r="V8" s="101">
        <f>IF(Table1[[#This Row],[Low-cost office?]]="Yes",-4,0)</f>
        <v>0</v>
      </c>
    </row>
    <row r="9" spans="1:23" x14ac:dyDescent="0.55000000000000004">
      <c r="A9" t="s">
        <v>69</v>
      </c>
      <c r="B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21.5</v>
      </c>
      <c r="C9" t="s">
        <v>469</v>
      </c>
      <c r="D9" s="95" t="s">
        <v>460</v>
      </c>
      <c r="E9" s="95" t="s">
        <v>460</v>
      </c>
      <c r="F9" s="95" t="s">
        <v>460</v>
      </c>
      <c r="G9" s="95" t="s">
        <v>460</v>
      </c>
      <c r="H9" s="95" t="s">
        <v>460</v>
      </c>
      <c r="I9" s="95" t="s">
        <v>460</v>
      </c>
      <c r="J9" s="99">
        <f>IF(Table1[[#This Row],[CIV]]="⮽",0,1)*1.5</f>
        <v>1.5</v>
      </c>
      <c r="K9" s="99">
        <f>IF(Table1[[#This Row],[ARC]]="⮽",0,1)*3</f>
        <v>3</v>
      </c>
      <c r="L9" s="99">
        <f>IF(Table1[[#This Row],[STR]]="⮽",0,1)*2</f>
        <v>2</v>
      </c>
      <c r="M9" s="99">
        <f>IF(Table1[[#This Row],[MP]]="⮽",0,1)</f>
        <v>1</v>
      </c>
      <c r="N9" s="99">
        <f>IF(Table1[[#This Row],[ELE]]="⮽",0,1)</f>
        <v>1</v>
      </c>
      <c r="O9" s="99">
        <f>IF(Table1[[#This Row],[FP]]="⮽",0,1)</f>
        <v>1</v>
      </c>
      <c r="P9">
        <v>2</v>
      </c>
      <c r="Q9" t="s">
        <v>461</v>
      </c>
      <c r="R9" s="101">
        <f>IF(Table1[[#This Row],[Size (S, M, L)]]="S",2,IF(Table1[[#This Row],[Size (S, M, L)]]="L",1,4))</f>
        <v>4</v>
      </c>
      <c r="S9" t="s">
        <v>462</v>
      </c>
      <c r="T9" s="101">
        <f>IF(Table1[[#This Row],[TZone]]="EST",4,IF(Table1[[#This Row],[TZone]]="CST",3,IF(Table1[[#This Row],[TZone]]="MST",2,1)))</f>
        <v>4</v>
      </c>
      <c r="U9" t="s">
        <v>463</v>
      </c>
      <c r="V9" s="101">
        <f>IF(Table1[[#This Row],[Low-cost office?]]="Yes",-4,0)</f>
        <v>0</v>
      </c>
    </row>
    <row r="10" spans="1:23" x14ac:dyDescent="0.55000000000000004">
      <c r="A10" t="s">
        <v>101</v>
      </c>
      <c r="B1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21</v>
      </c>
      <c r="C10" t="s">
        <v>459</v>
      </c>
      <c r="D10" s="95" t="s">
        <v>470</v>
      </c>
      <c r="E10" s="94" t="s">
        <v>460</v>
      </c>
      <c r="F10" s="94" t="s">
        <v>460</v>
      </c>
      <c r="G10" s="94" t="s">
        <v>460</v>
      </c>
      <c r="H10" s="94" t="s">
        <v>460</v>
      </c>
      <c r="I10" s="95" t="s">
        <v>470</v>
      </c>
      <c r="J10" s="99">
        <f>IF(Table1[[#This Row],[CIV]]="⮽",0,1)*1.5</f>
        <v>0</v>
      </c>
      <c r="K10" s="99">
        <f>IF(Table1[[#This Row],[ARC]]="⮽",0,1)*3</f>
        <v>3</v>
      </c>
      <c r="L10" s="99">
        <f>IF(Table1[[#This Row],[STR]]="⮽",0,1)*2</f>
        <v>2</v>
      </c>
      <c r="M10" s="99">
        <f>IF(Table1[[#This Row],[MP]]="⮽",0,1)</f>
        <v>1</v>
      </c>
      <c r="N10" s="99">
        <f>IF(Table1[[#This Row],[ELE]]="⮽",0,1)</f>
        <v>1</v>
      </c>
      <c r="O10" s="99">
        <f>IF(Table1[[#This Row],[FP]]="⮽",0,1)</f>
        <v>0</v>
      </c>
      <c r="P10">
        <v>3</v>
      </c>
      <c r="Q10" t="s">
        <v>461</v>
      </c>
      <c r="R10" s="101">
        <f>IF(Table1[[#This Row],[Size (S, M, L)]]="S",2,IF(Table1[[#This Row],[Size (S, M, L)]]="L",1,4))</f>
        <v>4</v>
      </c>
      <c r="S10" t="s">
        <v>462</v>
      </c>
      <c r="T10" s="101">
        <f>IF(Table1[[#This Row],[TZone]]="EST",4,IF(Table1[[#This Row],[TZone]]="CST",3,IF(Table1[[#This Row],[TZone]]="MST",2,1)))</f>
        <v>4</v>
      </c>
      <c r="U10" t="s">
        <v>463</v>
      </c>
      <c r="V10" s="101">
        <f>IF(Table1[[#This Row],[Low-cost office?]]="Yes",-4,0)</f>
        <v>0</v>
      </c>
    </row>
    <row r="11" spans="1:23" x14ac:dyDescent="0.55000000000000004">
      <c r="A11" t="s">
        <v>293</v>
      </c>
      <c r="B1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20.5</v>
      </c>
      <c r="C11" t="s">
        <v>469</v>
      </c>
      <c r="D11" s="95" t="s">
        <v>460</v>
      </c>
      <c r="E11" s="95" t="s">
        <v>460</v>
      </c>
      <c r="F11" s="95" t="s">
        <v>460</v>
      </c>
      <c r="G11" s="95" t="s">
        <v>460</v>
      </c>
      <c r="H11" s="95" t="s">
        <v>460</v>
      </c>
      <c r="I11" s="95" t="s">
        <v>460</v>
      </c>
      <c r="J11" s="99">
        <f>IF(Table1[[#This Row],[CIV]]="⮽",0,1)*1.5</f>
        <v>1.5</v>
      </c>
      <c r="K11" s="99">
        <f>IF(Table1[[#This Row],[ARC]]="⮽",0,1)*3</f>
        <v>3</v>
      </c>
      <c r="L11" s="99">
        <f>IF(Table1[[#This Row],[STR]]="⮽",0,1)*2</f>
        <v>2</v>
      </c>
      <c r="M11" s="99">
        <f>IF(Table1[[#This Row],[MP]]="⮽",0,1)</f>
        <v>1</v>
      </c>
      <c r="N11" s="99">
        <f>IF(Table1[[#This Row],[ELE]]="⮽",0,1)</f>
        <v>1</v>
      </c>
      <c r="O11" s="99">
        <f>IF(Table1[[#This Row],[FP]]="⮽",0,1)</f>
        <v>1</v>
      </c>
      <c r="P11">
        <v>3</v>
      </c>
      <c r="Q11" t="s">
        <v>472</v>
      </c>
      <c r="R11" s="101">
        <f>IF(Table1[[#This Row],[Size (S, M, L)]]="S",2,IF(Table1[[#This Row],[Size (S, M, L)]]="L",1,4))</f>
        <v>2</v>
      </c>
      <c r="S11" t="s">
        <v>465</v>
      </c>
      <c r="T11" s="101">
        <f>IF(Table1[[#This Row],[TZone]]="EST",4,IF(Table1[[#This Row],[TZone]]="CST",3,IF(Table1[[#This Row],[TZone]]="MST",2,1)))</f>
        <v>3</v>
      </c>
      <c r="U11" t="s">
        <v>463</v>
      </c>
      <c r="V11" s="101">
        <f>IF(Table1[[#This Row],[Low-cost office?]]="Yes",-4,0)</f>
        <v>0</v>
      </c>
    </row>
    <row r="12" spans="1:23" x14ac:dyDescent="0.55000000000000004">
      <c r="A12" t="s">
        <v>182</v>
      </c>
      <c r="B1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20.5</v>
      </c>
      <c r="C12" t="s">
        <v>469</v>
      </c>
      <c r="D12" s="95" t="s">
        <v>460</v>
      </c>
      <c r="E12" s="95" t="s">
        <v>460</v>
      </c>
      <c r="F12" s="95" t="s">
        <v>460</v>
      </c>
      <c r="G12" s="95" t="s">
        <v>460</v>
      </c>
      <c r="H12" s="95" t="s">
        <v>460</v>
      </c>
      <c r="I12" s="94" t="s">
        <v>470</v>
      </c>
      <c r="J12" s="98">
        <f>IF(Table1[[#This Row],[CIV]]="⮽",0,1)*1.5</f>
        <v>1.5</v>
      </c>
      <c r="K12" s="98">
        <f>IF(Table1[[#This Row],[ARC]]="⮽",0,1)*3</f>
        <v>3</v>
      </c>
      <c r="L12" s="98">
        <f>IF(Table1[[#This Row],[STR]]="⮽",0,1)*2</f>
        <v>2</v>
      </c>
      <c r="M12" s="98">
        <f>IF(Table1[[#This Row],[MP]]="⮽",0,1)</f>
        <v>1</v>
      </c>
      <c r="N12" s="98">
        <f>IF(Table1[[#This Row],[ELE]]="⮽",0,1)</f>
        <v>1</v>
      </c>
      <c r="O12" s="98">
        <f>IF(Table1[[#This Row],[FP]]="⮽",0,1)</f>
        <v>0</v>
      </c>
      <c r="P12">
        <v>3</v>
      </c>
      <c r="Q12" t="s">
        <v>461</v>
      </c>
      <c r="R12" s="101">
        <f>IF(Table1[[#This Row],[Size (S, M, L)]]="S",2,IF(Table1[[#This Row],[Size (S, M, L)]]="L",1,4))</f>
        <v>4</v>
      </c>
      <c r="S12" t="s">
        <v>473</v>
      </c>
      <c r="T12" s="101">
        <f>IF(Table1[[#This Row],[TZone]]="EST",4,IF(Table1[[#This Row],[TZone]]="CST",3,IF(Table1[[#This Row],[TZone]]="MST",2,1)))</f>
        <v>2</v>
      </c>
      <c r="U12" t="s">
        <v>463</v>
      </c>
      <c r="V12" s="101">
        <f>IF(Table1[[#This Row],[Low-cost office?]]="Yes",-4,0)</f>
        <v>0</v>
      </c>
    </row>
    <row r="13" spans="1:23" x14ac:dyDescent="0.55000000000000004">
      <c r="A13" s="96" t="s">
        <v>152</v>
      </c>
      <c r="B1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20.5</v>
      </c>
      <c r="C13" t="s">
        <v>464</v>
      </c>
      <c r="D13" s="94" t="s">
        <v>460</v>
      </c>
      <c r="E13" s="94" t="s">
        <v>460</v>
      </c>
      <c r="F13" s="94" t="s">
        <v>460</v>
      </c>
      <c r="G13" s="94" t="s">
        <v>460</v>
      </c>
      <c r="H13" s="94" t="s">
        <v>460</v>
      </c>
      <c r="I13" s="95" t="s">
        <v>470</v>
      </c>
      <c r="J13" s="99">
        <f>IF(Table1[[#This Row],[CIV]]="⮽",0,1)*1.5</f>
        <v>1.5</v>
      </c>
      <c r="K13" s="99">
        <f>IF(Table1[[#This Row],[ARC]]="⮽",0,1)*3</f>
        <v>3</v>
      </c>
      <c r="L13" s="99">
        <f>IF(Table1[[#This Row],[STR]]="⮽",0,1)*2</f>
        <v>2</v>
      </c>
      <c r="M13" s="99">
        <f>IF(Table1[[#This Row],[MP]]="⮽",0,1)</f>
        <v>1</v>
      </c>
      <c r="N13" s="99">
        <f>IF(Table1[[#This Row],[ELE]]="⮽",0,1)</f>
        <v>1</v>
      </c>
      <c r="O13" s="99">
        <f>IF(Table1[[#This Row],[FP]]="⮽",0,1)</f>
        <v>0</v>
      </c>
      <c r="P13">
        <v>2</v>
      </c>
      <c r="Q13" t="s">
        <v>461</v>
      </c>
      <c r="R13" s="101">
        <f>IF(Table1[[#This Row],[Size (S, M, L)]]="S",2,IF(Table1[[#This Row],[Size (S, M, L)]]="L",1,4))</f>
        <v>4</v>
      </c>
      <c r="S13" t="s">
        <v>462</v>
      </c>
      <c r="T13" s="101">
        <f>IF(Table1[[#This Row],[TZone]]="EST",4,IF(Table1[[#This Row],[TZone]]="CST",3,IF(Table1[[#This Row],[TZone]]="MST",2,1)))</f>
        <v>4</v>
      </c>
      <c r="U13" t="s">
        <v>463</v>
      </c>
      <c r="V13" s="101">
        <f>IF(Table1[[#This Row],[Low-cost office?]]="Yes",-4,0)</f>
        <v>0</v>
      </c>
    </row>
    <row r="14" spans="1:23" x14ac:dyDescent="0.55000000000000004">
      <c r="A14" s="96" t="s">
        <v>35</v>
      </c>
      <c r="B1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20</v>
      </c>
      <c r="C14" t="s">
        <v>464</v>
      </c>
      <c r="D14" s="95" t="s">
        <v>470</v>
      </c>
      <c r="E14" s="94" t="s">
        <v>460</v>
      </c>
      <c r="F14" s="94" t="s">
        <v>460</v>
      </c>
      <c r="G14" s="94" t="s">
        <v>460</v>
      </c>
      <c r="H14" s="94" t="s">
        <v>460</v>
      </c>
      <c r="I14" s="95" t="s">
        <v>470</v>
      </c>
      <c r="J14" s="99">
        <f>IF(Table1[[#This Row],[CIV]]="⮽",0,1)*1.5</f>
        <v>0</v>
      </c>
      <c r="K14" s="99">
        <f>IF(Table1[[#This Row],[ARC]]="⮽",0,1)*3</f>
        <v>3</v>
      </c>
      <c r="L14" s="99">
        <f>IF(Table1[[#This Row],[STR]]="⮽",0,1)*2</f>
        <v>2</v>
      </c>
      <c r="M14" s="99">
        <f>IF(Table1[[#This Row],[MP]]="⮽",0,1)</f>
        <v>1</v>
      </c>
      <c r="N14" s="99">
        <f>IF(Table1[[#This Row],[ELE]]="⮽",0,1)</f>
        <v>1</v>
      </c>
      <c r="O14" s="99">
        <f>IF(Table1[[#This Row],[FP]]="⮽",0,1)</f>
        <v>0</v>
      </c>
      <c r="P14">
        <v>3</v>
      </c>
      <c r="Q14" t="s">
        <v>461</v>
      </c>
      <c r="R14" s="101">
        <f>IF(Table1[[#This Row],[Size (S, M, L)]]="S",2,IF(Table1[[#This Row],[Size (S, M, L)]]="L",1,4))</f>
        <v>4</v>
      </c>
      <c r="S14" t="s">
        <v>465</v>
      </c>
      <c r="T14" s="101">
        <f>IF(Table1[[#This Row],[TZone]]="EST",4,IF(Table1[[#This Row],[TZone]]="CST",3,IF(Table1[[#This Row],[TZone]]="MST",2,1)))</f>
        <v>3</v>
      </c>
      <c r="U14" t="s">
        <v>463</v>
      </c>
      <c r="V14" s="101">
        <f>IF(Table1[[#This Row],[Low-cost office?]]="Yes",-4,0)</f>
        <v>0</v>
      </c>
    </row>
    <row r="15" spans="1:23" x14ac:dyDescent="0.55000000000000004">
      <c r="A15" t="s">
        <v>474</v>
      </c>
      <c r="B1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19.5</v>
      </c>
      <c r="C15" t="s">
        <v>467</v>
      </c>
      <c r="D15" s="95" t="s">
        <v>460</v>
      </c>
      <c r="E15" s="95" t="s">
        <v>460</v>
      </c>
      <c r="F15" s="95" t="s">
        <v>460</v>
      </c>
      <c r="G15" s="95" t="s">
        <v>460</v>
      </c>
      <c r="H15" s="95" t="s">
        <v>460</v>
      </c>
      <c r="I15" s="95" t="s">
        <v>470</v>
      </c>
      <c r="J15" s="99">
        <f>IF(Table1[[#This Row],[CIV]]="⮽",0,1)*1.5</f>
        <v>1.5</v>
      </c>
      <c r="K15" s="99">
        <f>IF(Table1[[#This Row],[ARC]]="⮽",0,1)*3</f>
        <v>3</v>
      </c>
      <c r="L15" s="99">
        <f>IF(Table1[[#This Row],[STR]]="⮽",0,1)*2</f>
        <v>2</v>
      </c>
      <c r="M15" s="99">
        <f>IF(Table1[[#This Row],[MP]]="⮽",0,1)</f>
        <v>1</v>
      </c>
      <c r="N15" s="99">
        <f>IF(Table1[[#This Row],[ELE]]="⮽",0,1)</f>
        <v>1</v>
      </c>
      <c r="O15" s="99">
        <f>IF(Table1[[#This Row],[FP]]="⮽",0,1)</f>
        <v>0</v>
      </c>
      <c r="P15">
        <v>3</v>
      </c>
      <c r="Q15" t="s">
        <v>475</v>
      </c>
      <c r="R15" s="101">
        <f>IF(Table1[[#This Row],[Size (S, M, L)]]="S",2,IF(Table1[[#This Row],[Size (S, M, L)]]="L",1,4))</f>
        <v>1</v>
      </c>
      <c r="S15" t="s">
        <v>462</v>
      </c>
      <c r="T15" s="101">
        <f>IF(Table1[[#This Row],[TZone]]="EST",4,IF(Table1[[#This Row],[TZone]]="CST",3,IF(Table1[[#This Row],[TZone]]="MST",2,1)))</f>
        <v>4</v>
      </c>
      <c r="U15" t="s">
        <v>463</v>
      </c>
      <c r="V15" s="101">
        <f>IF(Table1[[#This Row],[Low-cost office?]]="Yes",-4,0)</f>
        <v>0</v>
      </c>
    </row>
    <row r="16" spans="1:23" x14ac:dyDescent="0.55000000000000004">
      <c r="A16" t="s">
        <v>92</v>
      </c>
      <c r="B1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19.5</v>
      </c>
      <c r="C16" t="s">
        <v>469</v>
      </c>
      <c r="D16" s="95" t="s">
        <v>460</v>
      </c>
      <c r="E16" s="95" t="s">
        <v>460</v>
      </c>
      <c r="F16" s="95" t="s">
        <v>460</v>
      </c>
      <c r="G16" s="95" t="s">
        <v>460</v>
      </c>
      <c r="H16" s="95" t="s">
        <v>460</v>
      </c>
      <c r="I16" s="95" t="s">
        <v>460</v>
      </c>
      <c r="J16" s="99">
        <f>IF(Table1[[#This Row],[CIV]]="⮽",0,1)*1.5</f>
        <v>1.5</v>
      </c>
      <c r="K16" s="99">
        <f>IF(Table1[[#This Row],[ARC]]="⮽",0,1)*3</f>
        <v>3</v>
      </c>
      <c r="L16" s="99">
        <f>IF(Table1[[#This Row],[STR]]="⮽",0,1)*2</f>
        <v>2</v>
      </c>
      <c r="M16" s="99">
        <f>IF(Table1[[#This Row],[MP]]="⮽",0,1)</f>
        <v>1</v>
      </c>
      <c r="N16" s="99">
        <f>IF(Table1[[#This Row],[ELE]]="⮽",0,1)</f>
        <v>1</v>
      </c>
      <c r="O16" s="99">
        <f>IF(Table1[[#This Row],[FP]]="⮽",0,1)</f>
        <v>1</v>
      </c>
      <c r="P16">
        <v>2</v>
      </c>
      <c r="Q16" t="s">
        <v>461</v>
      </c>
      <c r="R16" s="101">
        <f>IF(Table1[[#This Row],[Size (S, M, L)]]="S",2,IF(Table1[[#This Row],[Size (S, M, L)]]="L",1,4))</f>
        <v>4</v>
      </c>
      <c r="S16" t="s">
        <v>473</v>
      </c>
      <c r="T16" s="101">
        <f>IF(Table1[[#This Row],[TZone]]="EST",4,IF(Table1[[#This Row],[TZone]]="CST",3,IF(Table1[[#This Row],[TZone]]="MST",2,1)))</f>
        <v>2</v>
      </c>
      <c r="U16" t="s">
        <v>463</v>
      </c>
      <c r="V16" s="101">
        <f>IF(Table1[[#This Row],[Low-cost office?]]="Yes",-4,0)</f>
        <v>0</v>
      </c>
    </row>
    <row r="17" spans="1:22" x14ac:dyDescent="0.55000000000000004">
      <c r="A17" t="s">
        <v>476</v>
      </c>
      <c r="B1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19.5</v>
      </c>
      <c r="C17" t="s">
        <v>464</v>
      </c>
      <c r="D17" s="95" t="s">
        <v>460</v>
      </c>
      <c r="E17" s="95" t="s">
        <v>460</v>
      </c>
      <c r="F17" s="95" t="s">
        <v>460</v>
      </c>
      <c r="G17" s="95" t="s">
        <v>460</v>
      </c>
      <c r="H17" s="95" t="s">
        <v>460</v>
      </c>
      <c r="I17" s="94" t="s">
        <v>470</v>
      </c>
      <c r="J17" s="98">
        <f>IF(Table1[[#This Row],[CIV]]="⮽",0,1)*1.5</f>
        <v>1.5</v>
      </c>
      <c r="K17" s="98">
        <f>IF(Table1[[#This Row],[ARC]]="⮽",0,1)*3</f>
        <v>3</v>
      </c>
      <c r="L17" s="98">
        <f>IF(Table1[[#This Row],[STR]]="⮽",0,1)*2</f>
        <v>2</v>
      </c>
      <c r="M17" s="98">
        <f>IF(Table1[[#This Row],[MP]]="⮽",0,1)</f>
        <v>1</v>
      </c>
      <c r="N17" s="98">
        <f>IF(Table1[[#This Row],[ELE]]="⮽",0,1)</f>
        <v>1</v>
      </c>
      <c r="O17" s="98">
        <f>IF(Table1[[#This Row],[FP]]="⮽",0,1)</f>
        <v>0</v>
      </c>
      <c r="P17">
        <v>2</v>
      </c>
      <c r="Q17" t="s">
        <v>461</v>
      </c>
      <c r="R17" s="101">
        <f>IF(Table1[[#This Row],[Size (S, M, L)]]="S",2,IF(Table1[[#This Row],[Size (S, M, L)]]="L",1,4))</f>
        <v>4</v>
      </c>
      <c r="S17" t="s">
        <v>465</v>
      </c>
      <c r="T17" s="101">
        <f>IF(Table1[[#This Row],[TZone]]="EST",4,IF(Table1[[#This Row],[TZone]]="CST",3,IF(Table1[[#This Row],[TZone]]="MST",2,1)))</f>
        <v>3</v>
      </c>
      <c r="U17" t="s">
        <v>463</v>
      </c>
      <c r="V17" s="101">
        <f>IF(Table1[[#This Row],[Low-cost office?]]="Yes",-4,0)</f>
        <v>0</v>
      </c>
    </row>
    <row r="18" spans="1:22" x14ac:dyDescent="0.55000000000000004">
      <c r="A18" t="s">
        <v>477</v>
      </c>
      <c r="B1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19.5</v>
      </c>
      <c r="C18" t="s">
        <v>469</v>
      </c>
      <c r="D18" s="94" t="s">
        <v>460</v>
      </c>
      <c r="E18" s="95" t="s">
        <v>470</v>
      </c>
      <c r="F18" s="94" t="s">
        <v>460</v>
      </c>
      <c r="G18" s="94" t="s">
        <v>460</v>
      </c>
      <c r="H18" s="94" t="s">
        <v>460</v>
      </c>
      <c r="I18" s="94" t="s">
        <v>460</v>
      </c>
      <c r="J18" s="98">
        <f>IF(Table1[[#This Row],[CIV]]="⮽",0,1)*1.5</f>
        <v>1.5</v>
      </c>
      <c r="K18" s="98">
        <f>IF(Table1[[#This Row],[ARC]]="⮽",0,1)*3</f>
        <v>0</v>
      </c>
      <c r="L18" s="98">
        <f>IF(Table1[[#This Row],[STR]]="⮽",0,1)*2</f>
        <v>2</v>
      </c>
      <c r="M18" s="98">
        <f>IF(Table1[[#This Row],[MP]]="⮽",0,1)</f>
        <v>1</v>
      </c>
      <c r="N18" s="98">
        <f>IF(Table1[[#This Row],[ELE]]="⮽",0,1)</f>
        <v>1</v>
      </c>
      <c r="O18" s="98">
        <f>IF(Table1[[#This Row],[FP]]="⮽",0,1)</f>
        <v>1</v>
      </c>
      <c r="P18">
        <v>3</v>
      </c>
      <c r="Q18" t="s">
        <v>461</v>
      </c>
      <c r="R18" s="101">
        <f>IF(Table1[[#This Row],[Size (S, M, L)]]="S",2,IF(Table1[[#This Row],[Size (S, M, L)]]="L",1,4))</f>
        <v>4</v>
      </c>
      <c r="S18" t="s">
        <v>465</v>
      </c>
      <c r="T18" s="101">
        <f>IF(Table1[[#This Row],[TZone]]="EST",4,IF(Table1[[#This Row],[TZone]]="CST",3,IF(Table1[[#This Row],[TZone]]="MST",2,1)))</f>
        <v>3</v>
      </c>
      <c r="U18" t="s">
        <v>463</v>
      </c>
      <c r="V18" s="101">
        <f>IF(Table1[[#This Row],[Low-cost office?]]="Yes",-4,0)</f>
        <v>0</v>
      </c>
    </row>
    <row r="19" spans="1:22" x14ac:dyDescent="0.55000000000000004">
      <c r="A19" t="s">
        <v>478</v>
      </c>
      <c r="B1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18.5</v>
      </c>
      <c r="C19" t="s">
        <v>467</v>
      </c>
      <c r="D19" s="95" t="s">
        <v>460</v>
      </c>
      <c r="E19" s="95" t="s">
        <v>460</v>
      </c>
      <c r="F19" s="95" t="s">
        <v>470</v>
      </c>
      <c r="G19" s="95" t="s">
        <v>470</v>
      </c>
      <c r="H19" s="95" t="s">
        <v>470</v>
      </c>
      <c r="I19" s="95" t="s">
        <v>470</v>
      </c>
      <c r="J19" s="99">
        <f>IF(Table1[[#This Row],[CIV]]="⮽",0,1)*1.5</f>
        <v>1.5</v>
      </c>
      <c r="K19" s="99">
        <f>IF(Table1[[#This Row],[ARC]]="⮽",0,1)*3</f>
        <v>3</v>
      </c>
      <c r="L19" s="99">
        <f>IF(Table1[[#This Row],[STR]]="⮽",0,1)*2</f>
        <v>0</v>
      </c>
      <c r="M19" s="99">
        <f>IF(Table1[[#This Row],[MP]]="⮽",0,1)</f>
        <v>0</v>
      </c>
      <c r="N19" s="99">
        <f>IF(Table1[[#This Row],[ELE]]="⮽",0,1)</f>
        <v>0</v>
      </c>
      <c r="O19" s="99">
        <f>IF(Table1[[#This Row],[FP]]="⮽",0,1)</f>
        <v>0</v>
      </c>
      <c r="P19">
        <v>3</v>
      </c>
      <c r="Q19" t="s">
        <v>461</v>
      </c>
      <c r="R19" s="101">
        <f>IF(Table1[[#This Row],[Size (S, M, L)]]="S",2,IF(Table1[[#This Row],[Size (S, M, L)]]="L",1,4))</f>
        <v>4</v>
      </c>
      <c r="S19" t="s">
        <v>462</v>
      </c>
      <c r="T19" s="101">
        <f>IF(Table1[[#This Row],[TZone]]="EST",4,IF(Table1[[#This Row],[TZone]]="CST",3,IF(Table1[[#This Row],[TZone]]="MST",2,1)))</f>
        <v>4</v>
      </c>
      <c r="U19" t="s">
        <v>463</v>
      </c>
      <c r="V19" s="101">
        <f>IF(Table1[[#This Row],[Low-cost office?]]="Yes",-4,0)</f>
        <v>0</v>
      </c>
    </row>
    <row r="20" spans="1:22" x14ac:dyDescent="0.55000000000000004">
      <c r="A20" t="s">
        <v>227</v>
      </c>
      <c r="B2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18.5</v>
      </c>
      <c r="C20" t="s">
        <v>464</v>
      </c>
      <c r="D20" s="95" t="s">
        <v>460</v>
      </c>
      <c r="E20" s="95" t="s">
        <v>460</v>
      </c>
      <c r="F20" s="95" t="s">
        <v>460</v>
      </c>
      <c r="G20" s="95" t="s">
        <v>460</v>
      </c>
      <c r="H20" s="95" t="s">
        <v>460</v>
      </c>
      <c r="I20" s="95" t="s">
        <v>470</v>
      </c>
      <c r="J20" s="99">
        <f>IF(Table1[[#This Row],[CIV]]="⮽",0,1)*1.5</f>
        <v>1.5</v>
      </c>
      <c r="K20" s="99">
        <f>IF(Table1[[#This Row],[ARC]]="⮽",0,1)*3</f>
        <v>3</v>
      </c>
      <c r="L20" s="99">
        <f>IF(Table1[[#This Row],[STR]]="⮽",0,1)*2</f>
        <v>2</v>
      </c>
      <c r="M20" s="99">
        <f>IF(Table1[[#This Row],[MP]]="⮽",0,1)</f>
        <v>1</v>
      </c>
      <c r="N20" s="99">
        <f>IF(Table1[[#This Row],[ELE]]="⮽",0,1)</f>
        <v>1</v>
      </c>
      <c r="O20" s="99">
        <f>IF(Table1[[#This Row],[FP]]="⮽",0,1)</f>
        <v>0</v>
      </c>
      <c r="P20">
        <v>3</v>
      </c>
      <c r="Q20" t="s">
        <v>461</v>
      </c>
      <c r="R20" s="101">
        <f>IF(Table1[[#This Row],[Size (S, M, L)]]="S",2,IF(Table1[[#This Row],[Size (S, M, L)]]="L",1,4))</f>
        <v>4</v>
      </c>
      <c r="S20" t="s">
        <v>462</v>
      </c>
      <c r="T20" s="101">
        <f>IF(Table1[[#This Row],[TZone]]="EST",4,IF(Table1[[#This Row],[TZone]]="CST",3,IF(Table1[[#This Row],[TZone]]="MST",2,1)))</f>
        <v>4</v>
      </c>
      <c r="U20" t="s">
        <v>479</v>
      </c>
      <c r="V20" s="101">
        <f>IF(Table1[[#This Row],[Low-cost office?]]="Yes",-4,0)</f>
        <v>-4</v>
      </c>
    </row>
    <row r="21" spans="1:22" x14ac:dyDescent="0.55000000000000004">
      <c r="A21" s="97" t="s">
        <v>480</v>
      </c>
      <c r="B2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18.5</v>
      </c>
      <c r="C21" t="s">
        <v>469</v>
      </c>
      <c r="D21" s="95" t="s">
        <v>460</v>
      </c>
      <c r="E21" s="95" t="s">
        <v>460</v>
      </c>
      <c r="F21" s="95" t="s">
        <v>460</v>
      </c>
      <c r="G21" s="95" t="s">
        <v>460</v>
      </c>
      <c r="H21" s="95" t="s">
        <v>460</v>
      </c>
      <c r="I21" s="95" t="s">
        <v>470</v>
      </c>
      <c r="J21" s="99">
        <f>IF(Table1[[#This Row],[CIV]]="⮽",0,1)*1.5</f>
        <v>1.5</v>
      </c>
      <c r="K21" s="99">
        <f>IF(Table1[[#This Row],[ARC]]="⮽",0,1)*3</f>
        <v>3</v>
      </c>
      <c r="L21" s="99">
        <f>IF(Table1[[#This Row],[STR]]="⮽",0,1)*2</f>
        <v>2</v>
      </c>
      <c r="M21" s="99">
        <f>IF(Table1[[#This Row],[MP]]="⮽",0,1)</f>
        <v>1</v>
      </c>
      <c r="N21" s="99">
        <f>IF(Table1[[#This Row],[ELE]]="⮽",0,1)</f>
        <v>1</v>
      </c>
      <c r="O21" s="99">
        <f>IF(Table1[[#This Row],[FP]]="⮽",0,1)</f>
        <v>0</v>
      </c>
      <c r="P21">
        <v>1</v>
      </c>
      <c r="Q21" t="s">
        <v>461</v>
      </c>
      <c r="R21" s="101">
        <f>IF(Table1[[#This Row],[Size (S, M, L)]]="S",2,IF(Table1[[#This Row],[Size (S, M, L)]]="L",1,4))</f>
        <v>4</v>
      </c>
      <c r="S21" t="s">
        <v>462</v>
      </c>
      <c r="T21" s="101">
        <f>IF(Table1[[#This Row],[TZone]]="EST",4,IF(Table1[[#This Row],[TZone]]="CST",3,IF(Table1[[#This Row],[TZone]]="MST",2,1)))</f>
        <v>4</v>
      </c>
      <c r="U21" t="s">
        <v>463</v>
      </c>
      <c r="V21" s="101">
        <f>IF(Table1[[#This Row],[Low-cost office?]]="Yes",-4,0)</f>
        <v>0</v>
      </c>
    </row>
    <row r="22" spans="1:22" x14ac:dyDescent="0.55000000000000004">
      <c r="A22" t="s">
        <v>297</v>
      </c>
      <c r="B2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18</v>
      </c>
      <c r="C22" t="s">
        <v>464</v>
      </c>
      <c r="D22" s="95" t="s">
        <v>470</v>
      </c>
      <c r="E22" s="94" t="s">
        <v>460</v>
      </c>
      <c r="F22" s="94" t="s">
        <v>460</v>
      </c>
      <c r="G22" s="94" t="s">
        <v>460</v>
      </c>
      <c r="H22" s="94" t="s">
        <v>460</v>
      </c>
      <c r="I22" s="95" t="s">
        <v>470</v>
      </c>
      <c r="J22" s="99">
        <f>IF(Table1[[#This Row],[CIV]]="⮽",0,1)*1.5</f>
        <v>0</v>
      </c>
      <c r="K22" s="99">
        <f>IF(Table1[[#This Row],[ARC]]="⮽",0,1)*3</f>
        <v>3</v>
      </c>
      <c r="L22" s="99">
        <f>IF(Table1[[#This Row],[STR]]="⮽",0,1)*2</f>
        <v>2</v>
      </c>
      <c r="M22" s="99">
        <f>IF(Table1[[#This Row],[MP]]="⮽",0,1)</f>
        <v>1</v>
      </c>
      <c r="N22" s="99">
        <f>IF(Table1[[#This Row],[ELE]]="⮽",0,1)</f>
        <v>1</v>
      </c>
      <c r="O22" s="99">
        <f>IF(Table1[[#This Row],[FP]]="⮽",0,1)</f>
        <v>0</v>
      </c>
      <c r="P22">
        <v>3</v>
      </c>
      <c r="Q22" t="s">
        <v>472</v>
      </c>
      <c r="R22" s="101">
        <f>IF(Table1[[#This Row],[Size (S, M, L)]]="S",2,IF(Table1[[#This Row],[Size (S, M, L)]]="L",1,4))</f>
        <v>2</v>
      </c>
      <c r="S22" t="s">
        <v>465</v>
      </c>
      <c r="T22" s="101">
        <f>IF(Table1[[#This Row],[TZone]]="EST",4,IF(Table1[[#This Row],[TZone]]="CST",3,IF(Table1[[#This Row],[TZone]]="MST",2,1)))</f>
        <v>3</v>
      </c>
      <c r="U22" t="s">
        <v>463</v>
      </c>
      <c r="V22" s="101">
        <f>IF(Table1[[#This Row],[Low-cost office?]]="Yes",-4,0)</f>
        <v>0</v>
      </c>
    </row>
    <row r="23" spans="1:22" x14ac:dyDescent="0.55000000000000004">
      <c r="A23" t="s">
        <v>272</v>
      </c>
      <c r="B2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17.5</v>
      </c>
      <c r="C23" t="s">
        <v>469</v>
      </c>
      <c r="D23" s="95" t="s">
        <v>460</v>
      </c>
      <c r="E23" s="95" t="s">
        <v>460</v>
      </c>
      <c r="F23" s="95" t="s">
        <v>460</v>
      </c>
      <c r="G23" s="95" t="s">
        <v>460</v>
      </c>
      <c r="H23" s="95" t="s">
        <v>460</v>
      </c>
      <c r="I23" s="95" t="s">
        <v>470</v>
      </c>
      <c r="J23" s="99">
        <f>IF(Table1[[#This Row],[CIV]]="⮽",0,1)*1.5</f>
        <v>1.5</v>
      </c>
      <c r="K23" s="99">
        <f>IF(Table1[[#This Row],[ARC]]="⮽",0,1)*3</f>
        <v>3</v>
      </c>
      <c r="L23" s="99">
        <f>IF(Table1[[#This Row],[STR]]="⮽",0,1)*2</f>
        <v>2</v>
      </c>
      <c r="M23" s="99">
        <f>IF(Table1[[#This Row],[MP]]="⮽",0,1)</f>
        <v>1</v>
      </c>
      <c r="N23" s="99">
        <f>IF(Table1[[#This Row],[ELE]]="⮽",0,1)</f>
        <v>1</v>
      </c>
      <c r="O23" s="99">
        <f>IF(Table1[[#This Row],[FP]]="⮽",0,1)</f>
        <v>0</v>
      </c>
      <c r="P23">
        <v>1</v>
      </c>
      <c r="Q23" t="s">
        <v>461</v>
      </c>
      <c r="R23" s="101">
        <f>IF(Table1[[#This Row],[Size (S, M, L)]]="S",2,IF(Table1[[#This Row],[Size (S, M, L)]]="L",1,4))</f>
        <v>4</v>
      </c>
      <c r="S23" t="s">
        <v>465</v>
      </c>
      <c r="T23" s="101">
        <f>IF(Table1[[#This Row],[TZone]]="EST",4,IF(Table1[[#This Row],[TZone]]="CST",3,IF(Table1[[#This Row],[TZone]]="MST",2,1)))</f>
        <v>3</v>
      </c>
      <c r="U23" t="s">
        <v>463</v>
      </c>
      <c r="V23" s="101">
        <f>IF(Table1[[#This Row],[Low-cost office?]]="Yes",-4,0)</f>
        <v>0</v>
      </c>
    </row>
    <row r="24" spans="1:22" x14ac:dyDescent="0.55000000000000004">
      <c r="A24" s="97" t="s">
        <v>173</v>
      </c>
      <c r="B2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17</v>
      </c>
      <c r="C24" t="s">
        <v>469</v>
      </c>
      <c r="D24" s="95" t="s">
        <v>470</v>
      </c>
      <c r="E24" s="95" t="s">
        <v>460</v>
      </c>
      <c r="F24" s="95" t="s">
        <v>470</v>
      </c>
      <c r="G24" s="95" t="s">
        <v>470</v>
      </c>
      <c r="H24" s="95" t="s">
        <v>470</v>
      </c>
      <c r="I24" s="95" t="s">
        <v>470</v>
      </c>
      <c r="J24" s="99">
        <f>IF(Table1[[#This Row],[CIV]]="⮽",0,1)*1.5</f>
        <v>0</v>
      </c>
      <c r="K24" s="99">
        <f>IF(Table1[[#This Row],[ARC]]="⮽",0,1)*3</f>
        <v>3</v>
      </c>
      <c r="L24" s="99">
        <f>IF(Table1[[#This Row],[STR]]="⮽",0,1)*2</f>
        <v>0</v>
      </c>
      <c r="M24" s="99">
        <f>IF(Table1[[#This Row],[MP]]="⮽",0,1)</f>
        <v>0</v>
      </c>
      <c r="N24" s="99">
        <f>IF(Table1[[#This Row],[ELE]]="⮽",0,1)</f>
        <v>0</v>
      </c>
      <c r="O24" s="99">
        <f>IF(Table1[[#This Row],[FP]]="⮽",0,1)</f>
        <v>0</v>
      </c>
      <c r="P24">
        <v>3</v>
      </c>
      <c r="Q24" t="s">
        <v>461</v>
      </c>
      <c r="R24" s="101">
        <f>IF(Table1[[#This Row],[Size (S, M, L)]]="S",2,IF(Table1[[#This Row],[Size (S, M, L)]]="L",1,4))</f>
        <v>4</v>
      </c>
      <c r="S24" t="s">
        <v>462</v>
      </c>
      <c r="T24" s="101">
        <f>IF(Table1[[#This Row],[TZone]]="EST",4,IF(Table1[[#This Row],[TZone]]="CST",3,IF(Table1[[#This Row],[TZone]]="MST",2,1)))</f>
        <v>4</v>
      </c>
      <c r="U24" t="s">
        <v>463</v>
      </c>
      <c r="V24" s="101">
        <f>IF(Table1[[#This Row],[Low-cost office?]]="Yes",-4,0)</f>
        <v>0</v>
      </c>
    </row>
    <row r="25" spans="1:22" x14ac:dyDescent="0.55000000000000004">
      <c r="A25" s="97" t="s">
        <v>481</v>
      </c>
      <c r="B2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17</v>
      </c>
      <c r="C25" t="s">
        <v>459</v>
      </c>
      <c r="D25" s="95" t="s">
        <v>470</v>
      </c>
      <c r="E25" s="94" t="s">
        <v>460</v>
      </c>
      <c r="F25" s="95" t="s">
        <v>470</v>
      </c>
      <c r="G25" s="95" t="s">
        <v>470</v>
      </c>
      <c r="H25" s="95" t="s">
        <v>470</v>
      </c>
      <c r="I25" s="95" t="s">
        <v>470</v>
      </c>
      <c r="J25" s="99">
        <f>IF(Table1[[#This Row],[CIV]]="⮽",0,1)*1.5</f>
        <v>0</v>
      </c>
      <c r="K25" s="99">
        <f>IF(Table1[[#This Row],[ARC]]="⮽",0,1)*3</f>
        <v>3</v>
      </c>
      <c r="L25" s="99">
        <f>IF(Table1[[#This Row],[STR]]="⮽",0,1)*2</f>
        <v>0</v>
      </c>
      <c r="M25" s="99">
        <f>IF(Table1[[#This Row],[MP]]="⮽",0,1)</f>
        <v>0</v>
      </c>
      <c r="N25" s="99">
        <f>IF(Table1[[#This Row],[ELE]]="⮽",0,1)</f>
        <v>0</v>
      </c>
      <c r="O25" s="99">
        <f>IF(Table1[[#This Row],[FP]]="⮽",0,1)</f>
        <v>0</v>
      </c>
      <c r="P25">
        <v>3</v>
      </c>
      <c r="Q25" t="s">
        <v>461</v>
      </c>
      <c r="R25" s="101">
        <f>IF(Table1[[#This Row],[Size (S, M, L)]]="S",2,IF(Table1[[#This Row],[Size (S, M, L)]]="L",1,4))</f>
        <v>4</v>
      </c>
      <c r="S25" t="s">
        <v>462</v>
      </c>
      <c r="T25" s="101">
        <f>IF(Table1[[#This Row],[TZone]]="EST",4,IF(Table1[[#This Row],[TZone]]="CST",3,IF(Table1[[#This Row],[TZone]]="MST",2,1)))</f>
        <v>4</v>
      </c>
      <c r="U25" t="s">
        <v>463</v>
      </c>
      <c r="V25" s="101">
        <f>IF(Table1[[#This Row],[Low-cost office?]]="Yes",-4,0)</f>
        <v>0</v>
      </c>
    </row>
    <row r="26" spans="1:22" x14ac:dyDescent="0.55000000000000004">
      <c r="A26" t="s">
        <v>482</v>
      </c>
      <c r="B2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16.5</v>
      </c>
      <c r="C26" t="s">
        <v>469</v>
      </c>
      <c r="D26" s="95" t="s">
        <v>460</v>
      </c>
      <c r="E26" s="95" t="s">
        <v>460</v>
      </c>
      <c r="F26" s="95" t="s">
        <v>460</v>
      </c>
      <c r="G26" s="95" t="s">
        <v>460</v>
      </c>
      <c r="H26" s="95" t="s">
        <v>460</v>
      </c>
      <c r="I26" s="95" t="s">
        <v>460</v>
      </c>
      <c r="J26" s="99">
        <f>IF(Table1[[#This Row],[CIV]]="⮽",0,1)*1.5</f>
        <v>1.5</v>
      </c>
      <c r="K26" s="99">
        <f>IF(Table1[[#This Row],[ARC]]="⮽",0,1)*3</f>
        <v>3</v>
      </c>
      <c r="L26" s="99">
        <f>IF(Table1[[#This Row],[STR]]="⮽",0,1)*2</f>
        <v>2</v>
      </c>
      <c r="M26" s="99">
        <f>IF(Table1[[#This Row],[MP]]="⮽",0,1)</f>
        <v>1</v>
      </c>
      <c r="N26" s="99">
        <f>IF(Table1[[#This Row],[ELE]]="⮽",0,1)</f>
        <v>1</v>
      </c>
      <c r="O26" s="99">
        <f>IF(Table1[[#This Row],[FP]]="⮽",0,1)</f>
        <v>1</v>
      </c>
      <c r="P26">
        <v>1</v>
      </c>
      <c r="Q26" t="s">
        <v>475</v>
      </c>
      <c r="R26" s="101">
        <f>IF(Table1[[#This Row],[Size (S, M, L)]]="S",2,IF(Table1[[#This Row],[Size (S, M, L)]]="L",1,4))</f>
        <v>1</v>
      </c>
      <c r="S26" t="s">
        <v>462</v>
      </c>
      <c r="T26" s="101">
        <f>IF(Table1[[#This Row],[TZone]]="EST",4,IF(Table1[[#This Row],[TZone]]="CST",3,IF(Table1[[#This Row],[TZone]]="MST",2,1)))</f>
        <v>4</v>
      </c>
      <c r="U26" t="s">
        <v>463</v>
      </c>
      <c r="V26" s="101">
        <f>IF(Table1[[#This Row],[Low-cost office?]]="Yes",-4,0)</f>
        <v>0</v>
      </c>
    </row>
    <row r="27" spans="1:22" x14ac:dyDescent="0.55000000000000004">
      <c r="A27" t="s">
        <v>483</v>
      </c>
      <c r="B2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16</v>
      </c>
      <c r="C27" t="s">
        <v>469</v>
      </c>
      <c r="D27" s="95" t="s">
        <v>470</v>
      </c>
      <c r="E27" s="95" t="s">
        <v>460</v>
      </c>
      <c r="F27" s="95" t="s">
        <v>470</v>
      </c>
      <c r="G27" s="95" t="s">
        <v>460</v>
      </c>
      <c r="H27" s="95" t="s">
        <v>460</v>
      </c>
      <c r="I27" s="95" t="s">
        <v>470</v>
      </c>
      <c r="J27" s="99">
        <f>IF(Table1[[#This Row],[CIV]]="⮽",0,1)*1.5</f>
        <v>0</v>
      </c>
      <c r="K27" s="99">
        <f>IF(Table1[[#This Row],[ARC]]="⮽",0,1)*3</f>
        <v>3</v>
      </c>
      <c r="L27" s="99">
        <f>IF(Table1[[#This Row],[STR]]="⮽",0,1)*2</f>
        <v>0</v>
      </c>
      <c r="M27" s="99">
        <f>IF(Table1[[#This Row],[MP]]="⮽",0,1)</f>
        <v>1</v>
      </c>
      <c r="N27" s="99">
        <f>IF(Table1[[#This Row],[ELE]]="⮽",0,1)</f>
        <v>1</v>
      </c>
      <c r="O27" s="99">
        <f>IF(Table1[[#This Row],[FP]]="⮽",0,1)</f>
        <v>0</v>
      </c>
      <c r="P27">
        <v>3</v>
      </c>
      <c r="Q27" t="s">
        <v>472</v>
      </c>
      <c r="R27" s="101">
        <f>IF(Table1[[#This Row],[Size (S, M, L)]]="S",2,IF(Table1[[#This Row],[Size (S, M, L)]]="L",1,4))</f>
        <v>2</v>
      </c>
      <c r="S27" t="s">
        <v>465</v>
      </c>
      <c r="T27" s="101">
        <f>IF(Table1[[#This Row],[TZone]]="EST",4,IF(Table1[[#This Row],[TZone]]="CST",3,IF(Table1[[#This Row],[TZone]]="MST",2,1)))</f>
        <v>3</v>
      </c>
      <c r="U27" t="s">
        <v>463</v>
      </c>
      <c r="V27" s="101">
        <f>IF(Table1[[#This Row],[Low-cost office?]]="Yes",-4,0)</f>
        <v>0</v>
      </c>
    </row>
    <row r="28" spans="1:22" x14ac:dyDescent="0.55000000000000004">
      <c r="A28" t="s">
        <v>312</v>
      </c>
      <c r="B2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16</v>
      </c>
      <c r="C28" t="s">
        <v>469</v>
      </c>
      <c r="D28" s="95" t="s">
        <v>470</v>
      </c>
      <c r="E28" s="95" t="s">
        <v>460</v>
      </c>
      <c r="F28" s="95" t="s">
        <v>470</v>
      </c>
      <c r="G28" s="95" t="s">
        <v>460</v>
      </c>
      <c r="H28" s="95" t="s">
        <v>460</v>
      </c>
      <c r="I28" s="95" t="s">
        <v>470</v>
      </c>
      <c r="J28" s="99">
        <f>IF(Table1[[#This Row],[CIV]]="⮽",0,1)*1.5</f>
        <v>0</v>
      </c>
      <c r="K28" s="99">
        <f>IF(Table1[[#This Row],[ARC]]="⮽",0,1)*3</f>
        <v>3</v>
      </c>
      <c r="L28" s="99">
        <f>IF(Table1[[#This Row],[STR]]="⮽",0,1)*2</f>
        <v>0</v>
      </c>
      <c r="M28" s="99">
        <f>IF(Table1[[#This Row],[MP]]="⮽",0,1)</f>
        <v>1</v>
      </c>
      <c r="N28" s="99">
        <f>IF(Table1[[#This Row],[ELE]]="⮽",0,1)</f>
        <v>1</v>
      </c>
      <c r="O28" s="99">
        <f>IF(Table1[[#This Row],[FP]]="⮽",0,1)</f>
        <v>0</v>
      </c>
      <c r="P28">
        <v>3</v>
      </c>
      <c r="Q28" t="s">
        <v>472</v>
      </c>
      <c r="R28" s="101">
        <f>IF(Table1[[#This Row],[Size (S, M, L)]]="S",2,IF(Table1[[#This Row],[Size (S, M, L)]]="L",1,4))</f>
        <v>2</v>
      </c>
      <c r="S28" t="s">
        <v>465</v>
      </c>
      <c r="T28" s="101">
        <f>IF(Table1[[#This Row],[TZone]]="EST",4,IF(Table1[[#This Row],[TZone]]="CST",3,IF(Table1[[#This Row],[TZone]]="MST",2,1)))</f>
        <v>3</v>
      </c>
      <c r="U28" t="s">
        <v>463</v>
      </c>
      <c r="V28" s="101">
        <f>IF(Table1[[#This Row],[Low-cost office?]]="Yes",-4,0)</f>
        <v>0</v>
      </c>
    </row>
    <row r="29" spans="1:22" x14ac:dyDescent="0.55000000000000004">
      <c r="A29" t="s">
        <v>484</v>
      </c>
      <c r="B2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16</v>
      </c>
      <c r="C29" t="s">
        <v>464</v>
      </c>
      <c r="D29" s="95" t="s">
        <v>470</v>
      </c>
      <c r="E29" s="95" t="s">
        <v>460</v>
      </c>
      <c r="F29" s="95" t="s">
        <v>470</v>
      </c>
      <c r="G29" s="95" t="s">
        <v>470</v>
      </c>
      <c r="H29" s="95" t="s">
        <v>470</v>
      </c>
      <c r="I29" s="95" t="s">
        <v>470</v>
      </c>
      <c r="J29" s="99">
        <f>IF(Table1[[#This Row],[CIV]]="⮽",0,1)*1.5</f>
        <v>0</v>
      </c>
      <c r="K29" s="99">
        <f>IF(Table1[[#This Row],[ARC]]="⮽",0,1)*3</f>
        <v>3</v>
      </c>
      <c r="L29" s="99">
        <f>IF(Table1[[#This Row],[STR]]="⮽",0,1)*2</f>
        <v>0</v>
      </c>
      <c r="M29" s="99">
        <f>IF(Table1[[#This Row],[MP]]="⮽",0,1)</f>
        <v>0</v>
      </c>
      <c r="N29" s="99">
        <f>IF(Table1[[#This Row],[ELE]]="⮽",0,1)</f>
        <v>0</v>
      </c>
      <c r="O29" s="99">
        <f>IF(Table1[[#This Row],[FP]]="⮽",0,1)</f>
        <v>0</v>
      </c>
      <c r="P29">
        <v>3</v>
      </c>
      <c r="Q29" t="s">
        <v>461</v>
      </c>
      <c r="R29" s="101">
        <f>IF(Table1[[#This Row],[Size (S, M, L)]]="S",2,IF(Table1[[#This Row],[Size (S, M, L)]]="L",1,4))</f>
        <v>4</v>
      </c>
      <c r="S29" t="s">
        <v>465</v>
      </c>
      <c r="T29" s="101">
        <f>IF(Table1[[#This Row],[TZone]]="EST",4,IF(Table1[[#This Row],[TZone]]="CST",3,IF(Table1[[#This Row],[TZone]]="MST",2,1)))</f>
        <v>3</v>
      </c>
      <c r="U29" t="s">
        <v>463</v>
      </c>
      <c r="V29" s="101">
        <f>IF(Table1[[#This Row],[Low-cost office?]]="Yes",-4,0)</f>
        <v>0</v>
      </c>
    </row>
    <row r="30" spans="1:22" x14ac:dyDescent="0.55000000000000004">
      <c r="A30" t="s">
        <v>336</v>
      </c>
      <c r="B3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16</v>
      </c>
      <c r="C30" t="s">
        <v>469</v>
      </c>
      <c r="D30" s="95" t="s">
        <v>470</v>
      </c>
      <c r="E30" s="95" t="s">
        <v>460</v>
      </c>
      <c r="F30" s="95" t="s">
        <v>460</v>
      </c>
      <c r="G30" s="95" t="s">
        <v>460</v>
      </c>
      <c r="H30" s="95" t="s">
        <v>460</v>
      </c>
      <c r="I30" s="95" t="s">
        <v>470</v>
      </c>
      <c r="J30" s="99">
        <f>IF(Table1[[#This Row],[CIV]]="⮽",0,1)*1.5</f>
        <v>0</v>
      </c>
      <c r="K30" s="99">
        <f>IF(Table1[[#This Row],[ARC]]="⮽",0,1)*3</f>
        <v>3</v>
      </c>
      <c r="L30" s="99">
        <f>IF(Table1[[#This Row],[STR]]="⮽",0,1)*2</f>
        <v>2</v>
      </c>
      <c r="M30" s="99">
        <f>IF(Table1[[#This Row],[MP]]="⮽",0,1)</f>
        <v>1</v>
      </c>
      <c r="N30" s="99">
        <f>IF(Table1[[#This Row],[ELE]]="⮽",0,1)</f>
        <v>1</v>
      </c>
      <c r="O30" s="99">
        <f>IF(Table1[[#This Row],[FP]]="⮽",0,1)</f>
        <v>0</v>
      </c>
      <c r="P30">
        <v>3</v>
      </c>
      <c r="Q30" t="s">
        <v>472</v>
      </c>
      <c r="R30" s="101">
        <f>IF(Table1[[#This Row],[Size (S, M, L)]]="S",2,IF(Table1[[#This Row],[Size (S, M, L)]]="L",1,4))</f>
        <v>2</v>
      </c>
      <c r="S30" t="s">
        <v>485</v>
      </c>
      <c r="T30" s="101">
        <f>IF(Table1[[#This Row],[TZone]]="EST",4,IF(Table1[[#This Row],[TZone]]="CST",3,IF(Table1[[#This Row],[TZone]]="MST",2,1)))</f>
        <v>1</v>
      </c>
      <c r="U30" t="s">
        <v>463</v>
      </c>
      <c r="V30" s="101">
        <f>IF(Table1[[#This Row],[Low-cost office?]]="Yes",-4,0)</f>
        <v>0</v>
      </c>
    </row>
    <row r="31" spans="1:22" x14ac:dyDescent="0.55000000000000004">
      <c r="A31" t="s">
        <v>284</v>
      </c>
      <c r="B3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15.5</v>
      </c>
      <c r="C31" t="s">
        <v>469</v>
      </c>
      <c r="D31" s="94" t="s">
        <v>460</v>
      </c>
      <c r="E31" s="94" t="s">
        <v>460</v>
      </c>
      <c r="F31" s="95" t="s">
        <v>470</v>
      </c>
      <c r="G31" s="95" t="s">
        <v>470</v>
      </c>
      <c r="H31" s="95" t="s">
        <v>470</v>
      </c>
      <c r="I31" s="95" t="s">
        <v>470</v>
      </c>
      <c r="J31" s="99">
        <f>IF(Table1[[#This Row],[CIV]]="⮽",0,1)*1.5</f>
        <v>1.5</v>
      </c>
      <c r="K31" s="99">
        <f>IF(Table1[[#This Row],[ARC]]="⮽",0,1)*3</f>
        <v>3</v>
      </c>
      <c r="L31" s="99">
        <f>IF(Table1[[#This Row],[STR]]="⮽",0,1)*2</f>
        <v>0</v>
      </c>
      <c r="M31" s="99">
        <f>IF(Table1[[#This Row],[MP]]="⮽",0,1)</f>
        <v>0</v>
      </c>
      <c r="N31" s="99">
        <f>IF(Table1[[#This Row],[ELE]]="⮽",0,1)</f>
        <v>0</v>
      </c>
      <c r="O31" s="99">
        <f>IF(Table1[[#This Row],[FP]]="⮽",0,1)</f>
        <v>0</v>
      </c>
      <c r="P31">
        <v>3</v>
      </c>
      <c r="Q31" t="s">
        <v>461</v>
      </c>
      <c r="R31" s="101">
        <f>IF(Table1[[#This Row],[Size (S, M, L)]]="S",2,IF(Table1[[#This Row],[Size (S, M, L)]]="L",1,4))</f>
        <v>4</v>
      </c>
      <c r="S31" t="s">
        <v>485</v>
      </c>
      <c r="T31" s="101">
        <f>IF(Table1[[#This Row],[TZone]]="EST",4,IF(Table1[[#This Row],[TZone]]="CST",3,IF(Table1[[#This Row],[TZone]]="MST",2,1)))</f>
        <v>1</v>
      </c>
      <c r="U31" t="s">
        <v>463</v>
      </c>
      <c r="V31" s="101">
        <f>IF(Table1[[#This Row],[Low-cost office?]]="Yes",-4,0)</f>
        <v>0</v>
      </c>
    </row>
    <row r="32" spans="1:22" x14ac:dyDescent="0.55000000000000004">
      <c r="A32" t="s">
        <v>486</v>
      </c>
      <c r="B3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15.5</v>
      </c>
      <c r="C32" t="s">
        <v>464</v>
      </c>
      <c r="D32" s="94" t="s">
        <v>460</v>
      </c>
      <c r="E32" s="94" t="s">
        <v>460</v>
      </c>
      <c r="F32" s="94" t="s">
        <v>460</v>
      </c>
      <c r="G32" s="95" t="s">
        <v>470</v>
      </c>
      <c r="H32" s="95" t="s">
        <v>470</v>
      </c>
      <c r="I32" s="95" t="s">
        <v>470</v>
      </c>
      <c r="J32" s="99">
        <f>IF(Table1[[#This Row],[CIV]]="⮽",0,1)*1.5</f>
        <v>1.5</v>
      </c>
      <c r="K32" s="99">
        <f>IF(Table1[[#This Row],[ARC]]="⮽",0,1)*3</f>
        <v>3</v>
      </c>
      <c r="L32" s="99">
        <f>IF(Table1[[#This Row],[STR]]="⮽",0,1)*2</f>
        <v>2</v>
      </c>
      <c r="M32" s="99">
        <f>IF(Table1[[#This Row],[MP]]="⮽",0,1)</f>
        <v>0</v>
      </c>
      <c r="N32" s="99">
        <f>IF(Table1[[#This Row],[ELE]]="⮽",0,1)</f>
        <v>0</v>
      </c>
      <c r="O32" s="99">
        <f>IF(Table1[[#This Row],[FP]]="⮽",0,1)</f>
        <v>0</v>
      </c>
      <c r="P32">
        <v>3</v>
      </c>
      <c r="Q32" t="s">
        <v>461</v>
      </c>
      <c r="R32" s="101">
        <f>IF(Table1[[#This Row],[Size (S, M, L)]]="S",2,IF(Table1[[#This Row],[Size (S, M, L)]]="L",1,4))</f>
        <v>4</v>
      </c>
      <c r="S32" t="s">
        <v>465</v>
      </c>
      <c r="T32" s="101">
        <f>IF(Table1[[#This Row],[TZone]]="EST",4,IF(Table1[[#This Row],[TZone]]="CST",3,IF(Table1[[#This Row],[TZone]]="MST",2,1)))</f>
        <v>3</v>
      </c>
      <c r="U32" t="s">
        <v>479</v>
      </c>
      <c r="V32" s="101">
        <f>IF(Table1[[#This Row],[Low-cost office?]]="Yes",-4,0)</f>
        <v>-4</v>
      </c>
    </row>
    <row r="33" spans="1:22" x14ac:dyDescent="0.55000000000000004">
      <c r="A33" t="s">
        <v>300</v>
      </c>
      <c r="B3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3" t="s">
        <v>469</v>
      </c>
      <c r="D33" s="95" t="s">
        <v>470</v>
      </c>
      <c r="E33" s="95" t="s">
        <v>460</v>
      </c>
      <c r="F33" s="95" t="s">
        <v>470</v>
      </c>
      <c r="G33" s="95" t="s">
        <v>470</v>
      </c>
      <c r="H33" s="95" t="s">
        <v>470</v>
      </c>
      <c r="I33" s="95" t="s">
        <v>470</v>
      </c>
      <c r="J33" s="99">
        <f>IF(Table1[[#This Row],[CIV]]="⮽",0,1)*1.5</f>
        <v>0</v>
      </c>
      <c r="K33" s="99">
        <f>IF(Table1[[#This Row],[ARC]]="⮽",0,1)*3</f>
        <v>3</v>
      </c>
      <c r="L33" s="99">
        <f>IF(Table1[[#This Row],[STR]]="⮽",0,1)*2</f>
        <v>0</v>
      </c>
      <c r="M33" s="99">
        <f>IF(Table1[[#This Row],[MP]]="⮽",0,1)</f>
        <v>0</v>
      </c>
      <c r="N33" s="99">
        <f>IF(Table1[[#This Row],[ELE]]="⮽",0,1)</f>
        <v>0</v>
      </c>
      <c r="O33" s="99">
        <f>IF(Table1[[#This Row],[FP]]="⮽",0,1)</f>
        <v>0</v>
      </c>
      <c r="P33">
        <v>3</v>
      </c>
      <c r="Q33" t="s">
        <v>472</v>
      </c>
      <c r="R33" s="101">
        <f>IF(Table1[[#This Row],[Size (S, M, L)]]="S",2,IF(Table1[[#This Row],[Size (S, M, L)]]="L",1,4))</f>
        <v>2</v>
      </c>
      <c r="S33" t="s">
        <v>462</v>
      </c>
      <c r="T33" s="101">
        <f>IF(Table1[[#This Row],[TZone]]="EST",4,IF(Table1[[#This Row],[TZone]]="CST",3,IF(Table1[[#This Row],[TZone]]="MST",2,1)))</f>
        <v>4</v>
      </c>
      <c r="U33" t="s">
        <v>463</v>
      </c>
      <c r="V33" s="101">
        <f>IF(Table1[[#This Row],[Low-cost office?]]="Yes",-4,0)</f>
        <v>0</v>
      </c>
    </row>
    <row r="34" spans="1:22" x14ac:dyDescent="0.55000000000000004">
      <c r="A34" t="s">
        <v>333</v>
      </c>
      <c r="B3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4" t="s">
        <v>469</v>
      </c>
      <c r="D34" s="95" t="s">
        <v>470</v>
      </c>
      <c r="E34" s="94" t="s">
        <v>460</v>
      </c>
      <c r="F34" s="95" t="s">
        <v>470</v>
      </c>
      <c r="G34" s="95" t="s">
        <v>470</v>
      </c>
      <c r="H34" s="95" t="s">
        <v>470</v>
      </c>
      <c r="I34" s="95" t="s">
        <v>470</v>
      </c>
      <c r="J34" s="99">
        <f>IF(Table1[[#This Row],[CIV]]="⮽",0,1)*1.5</f>
        <v>0</v>
      </c>
      <c r="K34" s="99">
        <f>IF(Table1[[#This Row],[ARC]]="⮽",0,1)*3</f>
        <v>3</v>
      </c>
      <c r="L34" s="99">
        <f>IF(Table1[[#This Row],[STR]]="⮽",0,1)*2</f>
        <v>0</v>
      </c>
      <c r="M34" s="99">
        <f>IF(Table1[[#This Row],[MP]]="⮽",0,1)</f>
        <v>0</v>
      </c>
      <c r="N34" s="99">
        <f>IF(Table1[[#This Row],[ELE]]="⮽",0,1)</f>
        <v>0</v>
      </c>
      <c r="O34" s="99">
        <f>IF(Table1[[#This Row],[FP]]="⮽",0,1)</f>
        <v>0</v>
      </c>
      <c r="P34">
        <v>3</v>
      </c>
      <c r="Q34" t="s">
        <v>472</v>
      </c>
      <c r="R34" s="101">
        <f>IF(Table1[[#This Row],[Size (S, M, L)]]="S",2,IF(Table1[[#This Row],[Size (S, M, L)]]="L",1,4))</f>
        <v>2</v>
      </c>
      <c r="S34" t="s">
        <v>462</v>
      </c>
      <c r="T34" s="101">
        <f>IF(Table1[[#This Row],[TZone]]="EST",4,IF(Table1[[#This Row],[TZone]]="CST",3,IF(Table1[[#This Row],[TZone]]="MST",2,1)))</f>
        <v>4</v>
      </c>
      <c r="U34" t="s">
        <v>463</v>
      </c>
      <c r="V34" s="101">
        <f>IF(Table1[[#This Row],[Low-cost office?]]="Yes",-4,0)</f>
        <v>0</v>
      </c>
    </row>
    <row r="35" spans="1:22" x14ac:dyDescent="0.55000000000000004">
      <c r="A35" t="s">
        <v>339</v>
      </c>
      <c r="B3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5" t="s">
        <v>469</v>
      </c>
      <c r="D35" s="95" t="s">
        <v>470</v>
      </c>
      <c r="E35" s="94" t="s">
        <v>460</v>
      </c>
      <c r="F35" s="95" t="s">
        <v>470</v>
      </c>
      <c r="G35" s="94" t="s">
        <v>460</v>
      </c>
      <c r="H35" s="94" t="s">
        <v>460</v>
      </c>
      <c r="I35" s="95" t="s">
        <v>470</v>
      </c>
      <c r="J35" s="99">
        <f>IF(Table1[[#This Row],[CIV]]="⮽",0,1)*1.5</f>
        <v>0</v>
      </c>
      <c r="K35" s="99">
        <f>IF(Table1[[#This Row],[ARC]]="⮽",0,1)*3</f>
        <v>3</v>
      </c>
      <c r="L35" s="99">
        <f>IF(Table1[[#This Row],[STR]]="⮽",0,1)*2</f>
        <v>0</v>
      </c>
      <c r="M35" s="99">
        <f>IF(Table1[[#This Row],[MP]]="⮽",0,1)</f>
        <v>1</v>
      </c>
      <c r="N35" s="99">
        <f>IF(Table1[[#This Row],[ELE]]="⮽",0,1)</f>
        <v>1</v>
      </c>
      <c r="O35" s="99">
        <f>IF(Table1[[#This Row],[FP]]="⮽",0,1)</f>
        <v>0</v>
      </c>
      <c r="P35">
        <v>2</v>
      </c>
      <c r="Q35" t="s">
        <v>472</v>
      </c>
      <c r="R35" s="101">
        <f>IF(Table1[[#This Row],[Size (S, M, L)]]="S",2,IF(Table1[[#This Row],[Size (S, M, L)]]="L",1,4))</f>
        <v>2</v>
      </c>
      <c r="S35" t="s">
        <v>462</v>
      </c>
      <c r="T35" s="101">
        <f>IF(Table1[[#This Row],[TZone]]="EST",4,IF(Table1[[#This Row],[TZone]]="CST",3,IF(Table1[[#This Row],[TZone]]="MST",2,1)))</f>
        <v>4</v>
      </c>
      <c r="U35" t="s">
        <v>463</v>
      </c>
      <c r="V35" s="101">
        <f>IF(Table1[[#This Row],[Low-cost office?]]="Yes",-4,0)</f>
        <v>0</v>
      </c>
    </row>
    <row r="36" spans="1:22" x14ac:dyDescent="0.55000000000000004">
      <c r="A36" t="s">
        <v>338</v>
      </c>
      <c r="B3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6" t="s">
        <v>469</v>
      </c>
      <c r="D36" s="95" t="s">
        <v>470</v>
      </c>
      <c r="E36" s="95" t="s">
        <v>460</v>
      </c>
      <c r="F36" s="95" t="s">
        <v>470</v>
      </c>
      <c r="G36" s="95" t="s">
        <v>470</v>
      </c>
      <c r="H36" s="95" t="s">
        <v>470</v>
      </c>
      <c r="I36" s="95" t="s">
        <v>470</v>
      </c>
      <c r="J36" s="99">
        <f>IF(Table1[[#This Row],[CIV]]="⮽",0,1)*1.5</f>
        <v>0</v>
      </c>
      <c r="K36" s="99">
        <f>IF(Table1[[#This Row],[ARC]]="⮽",0,1)*3</f>
        <v>3</v>
      </c>
      <c r="L36" s="99">
        <f>IF(Table1[[#This Row],[STR]]="⮽",0,1)*2</f>
        <v>0</v>
      </c>
      <c r="M36" s="99">
        <f>IF(Table1[[#This Row],[MP]]="⮽",0,1)</f>
        <v>0</v>
      </c>
      <c r="N36" s="99">
        <f>IF(Table1[[#This Row],[ELE]]="⮽",0,1)</f>
        <v>0</v>
      </c>
      <c r="O36" s="99">
        <f>IF(Table1[[#This Row],[FP]]="⮽",0,1)</f>
        <v>0</v>
      </c>
      <c r="P36">
        <v>3</v>
      </c>
      <c r="Q36" t="s">
        <v>472</v>
      </c>
      <c r="R36" s="101">
        <f>IF(Table1[[#This Row],[Size (S, M, L)]]="S",2,IF(Table1[[#This Row],[Size (S, M, L)]]="L",1,4))</f>
        <v>2</v>
      </c>
      <c r="S36" t="s">
        <v>462</v>
      </c>
      <c r="T36" s="101">
        <f>IF(Table1[[#This Row],[TZone]]="EST",4,IF(Table1[[#This Row],[TZone]]="CST",3,IF(Table1[[#This Row],[TZone]]="MST",2,1)))</f>
        <v>4</v>
      </c>
      <c r="U36" t="s">
        <v>463</v>
      </c>
      <c r="V36" s="101">
        <f>IF(Table1[[#This Row],[Low-cost office?]]="Yes",-4,0)</f>
        <v>0</v>
      </c>
    </row>
    <row r="37" spans="1:22" x14ac:dyDescent="0.55000000000000004">
      <c r="A37" s="97" t="s">
        <v>283</v>
      </c>
      <c r="B3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7" t="s">
        <v>459</v>
      </c>
      <c r="D37" s="95" t="s">
        <v>470</v>
      </c>
      <c r="E37" s="94" t="s">
        <v>460</v>
      </c>
      <c r="F37" s="95" t="s">
        <v>470</v>
      </c>
      <c r="G37" s="95" t="s">
        <v>470</v>
      </c>
      <c r="H37" s="95" t="s">
        <v>470</v>
      </c>
      <c r="I37" s="95" t="s">
        <v>470</v>
      </c>
      <c r="J37" s="99">
        <f>IF(Table1[[#This Row],[CIV]]="⮽",0,1)*1.5</f>
        <v>0</v>
      </c>
      <c r="K37" s="99">
        <f>IF(Table1[[#This Row],[ARC]]="⮽",0,1)*3</f>
        <v>3</v>
      </c>
      <c r="L37" s="99">
        <f>IF(Table1[[#This Row],[STR]]="⮽",0,1)*2</f>
        <v>0</v>
      </c>
      <c r="M37" s="99">
        <f>IF(Table1[[#This Row],[MP]]="⮽",0,1)</f>
        <v>0</v>
      </c>
      <c r="N37" s="99">
        <f>IF(Table1[[#This Row],[ELE]]="⮽",0,1)</f>
        <v>0</v>
      </c>
      <c r="O37" s="99">
        <f>IF(Table1[[#This Row],[FP]]="⮽",0,1)</f>
        <v>0</v>
      </c>
      <c r="P37">
        <v>2</v>
      </c>
      <c r="Q37" t="s">
        <v>461</v>
      </c>
      <c r="R37" s="101">
        <f>IF(Table1[[#This Row],[Size (S, M, L)]]="S",2,IF(Table1[[#This Row],[Size (S, M, L)]]="L",1,4))</f>
        <v>4</v>
      </c>
      <c r="S37" t="s">
        <v>462</v>
      </c>
      <c r="T37" s="101">
        <f>IF(Table1[[#This Row],[TZone]]="EST",4,IF(Table1[[#This Row],[TZone]]="CST",3,IF(Table1[[#This Row],[TZone]]="MST",2,1)))</f>
        <v>4</v>
      </c>
      <c r="U37" t="s">
        <v>463</v>
      </c>
      <c r="V37" s="101">
        <f>IF(Table1[[#This Row],[Low-cost office?]]="Yes",-4,0)</f>
        <v>0</v>
      </c>
    </row>
    <row r="38" spans="1:22" x14ac:dyDescent="0.55000000000000004">
      <c r="A38" t="s">
        <v>487</v>
      </c>
      <c r="B3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8" t="s">
        <v>469</v>
      </c>
      <c r="D38" s="95" t="s">
        <v>470</v>
      </c>
      <c r="E38" s="95" t="s">
        <v>470</v>
      </c>
      <c r="F38" s="95" t="s">
        <v>470</v>
      </c>
      <c r="G38" s="94" t="s">
        <v>460</v>
      </c>
      <c r="H38" s="94" t="s">
        <v>460</v>
      </c>
      <c r="I38" s="94" t="s">
        <v>460</v>
      </c>
      <c r="J38" s="98">
        <f>IF(Table1[[#This Row],[CIV]]="⮽",0,1)*1.5</f>
        <v>0</v>
      </c>
      <c r="K38" s="98">
        <f>IF(Table1[[#This Row],[ARC]]="⮽",0,1)*3</f>
        <v>0</v>
      </c>
      <c r="L38" s="98">
        <f>IF(Table1[[#This Row],[STR]]="⮽",0,1)*2</f>
        <v>0</v>
      </c>
      <c r="M38" s="98">
        <f>IF(Table1[[#This Row],[MP]]="⮽",0,1)</f>
        <v>1</v>
      </c>
      <c r="N38" s="98">
        <f>IF(Table1[[#This Row],[ELE]]="⮽",0,1)</f>
        <v>1</v>
      </c>
      <c r="O38" s="98">
        <f>IF(Table1[[#This Row],[FP]]="⮽",0,1)</f>
        <v>1</v>
      </c>
      <c r="P38">
        <v>3</v>
      </c>
      <c r="Q38" t="s">
        <v>472</v>
      </c>
      <c r="R38" s="101">
        <f>IF(Table1[[#This Row],[Size (S, M, L)]]="S",2,IF(Table1[[#This Row],[Size (S, M, L)]]="L",1,4))</f>
        <v>2</v>
      </c>
      <c r="S38" t="s">
        <v>462</v>
      </c>
      <c r="T38" s="101">
        <f>IF(Table1[[#This Row],[TZone]]="EST",4,IF(Table1[[#This Row],[TZone]]="CST",3,IF(Table1[[#This Row],[TZone]]="MST",2,1)))</f>
        <v>4</v>
      </c>
      <c r="U38" t="s">
        <v>463</v>
      </c>
      <c r="V38" s="101">
        <f>IF(Table1[[#This Row],[Low-cost office?]]="Yes",-4,0)</f>
        <v>0</v>
      </c>
    </row>
    <row r="39" spans="1:22" x14ac:dyDescent="0.55000000000000004">
      <c r="A39" t="s">
        <v>488</v>
      </c>
      <c r="B3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9" t="s">
        <v>469</v>
      </c>
      <c r="D39" s="95" t="s">
        <v>470</v>
      </c>
      <c r="E39" s="94" t="s">
        <v>460</v>
      </c>
      <c r="F39" s="94" t="s">
        <v>460</v>
      </c>
      <c r="G39" s="95" t="s">
        <v>470</v>
      </c>
      <c r="H39" s="95" t="s">
        <v>470</v>
      </c>
      <c r="I39" s="95" t="s">
        <v>470</v>
      </c>
      <c r="J39" s="99">
        <f>IF(Table1[[#This Row],[CIV]]="⮽",0,1)*1.5</f>
        <v>0</v>
      </c>
      <c r="K39" s="99">
        <f>IF(Table1[[#This Row],[ARC]]="⮽",0,1)*3</f>
        <v>3</v>
      </c>
      <c r="L39" s="99">
        <f>IF(Table1[[#This Row],[STR]]="⮽",0,1)*2</f>
        <v>2</v>
      </c>
      <c r="M39" s="99">
        <f>IF(Table1[[#This Row],[MP]]="⮽",0,1)</f>
        <v>0</v>
      </c>
      <c r="N39" s="99">
        <f>IF(Table1[[#This Row],[ELE]]="⮽",0,1)</f>
        <v>0</v>
      </c>
      <c r="O39" s="99">
        <f>IF(Table1[[#This Row],[FP]]="⮽",0,1)</f>
        <v>0</v>
      </c>
      <c r="P39">
        <v>2</v>
      </c>
      <c r="Q39" t="s">
        <v>472</v>
      </c>
      <c r="R39" s="101">
        <f>IF(Table1[[#This Row],[Size (S, M, L)]]="S",2,IF(Table1[[#This Row],[Size (S, M, L)]]="L",1,4))</f>
        <v>2</v>
      </c>
      <c r="S39" t="s">
        <v>462</v>
      </c>
      <c r="T39" s="101">
        <f>IF(Table1[[#This Row],[TZone]]="EST",4,IF(Table1[[#This Row],[TZone]]="CST",3,IF(Table1[[#This Row],[TZone]]="MST",2,1)))</f>
        <v>4</v>
      </c>
      <c r="U39" t="s">
        <v>463</v>
      </c>
      <c r="V39" s="101">
        <f>IF(Table1[[#This Row],[Low-cost office?]]="Yes",-4,0)</f>
        <v>0</v>
      </c>
    </row>
    <row r="40" spans="1:22" x14ac:dyDescent="0.55000000000000004">
      <c r="A40" t="s">
        <v>318</v>
      </c>
      <c r="B4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40" t="s">
        <v>469</v>
      </c>
      <c r="D40" s="95" t="s">
        <v>470</v>
      </c>
      <c r="E40" s="94" t="s">
        <v>460</v>
      </c>
      <c r="F40" s="95" t="s">
        <v>470</v>
      </c>
      <c r="G40" s="95" t="s">
        <v>470</v>
      </c>
      <c r="H40" s="95" t="s">
        <v>470</v>
      </c>
      <c r="I40" s="95" t="s">
        <v>470</v>
      </c>
      <c r="J40" s="99">
        <f>IF(Table1[[#This Row],[CIV]]="⮽",0,1)*1.5</f>
        <v>0</v>
      </c>
      <c r="K40" s="99">
        <f>IF(Table1[[#This Row],[ARC]]="⮽",0,1)*3</f>
        <v>3</v>
      </c>
      <c r="L40" s="99">
        <f>IF(Table1[[#This Row],[STR]]="⮽",0,1)*2</f>
        <v>0</v>
      </c>
      <c r="M40" s="99">
        <f>IF(Table1[[#This Row],[MP]]="⮽",0,1)</f>
        <v>0</v>
      </c>
      <c r="N40" s="99">
        <f>IF(Table1[[#This Row],[ELE]]="⮽",0,1)</f>
        <v>0</v>
      </c>
      <c r="O40" s="99">
        <f>IF(Table1[[#This Row],[FP]]="⮽",0,1)</f>
        <v>0</v>
      </c>
      <c r="P40">
        <v>3</v>
      </c>
      <c r="Q40" t="s">
        <v>472</v>
      </c>
      <c r="R40" s="101">
        <f>IF(Table1[[#This Row],[Size (S, M, L)]]="S",2,IF(Table1[[#This Row],[Size (S, M, L)]]="L",1,4))</f>
        <v>2</v>
      </c>
      <c r="S40" t="s">
        <v>462</v>
      </c>
      <c r="T40" s="101">
        <f>IF(Table1[[#This Row],[TZone]]="EST",4,IF(Table1[[#This Row],[TZone]]="CST",3,IF(Table1[[#This Row],[TZone]]="MST",2,1)))</f>
        <v>4</v>
      </c>
      <c r="U40" t="s">
        <v>463</v>
      </c>
      <c r="V40" s="101">
        <f>IF(Table1[[#This Row],[Low-cost office?]]="Yes",-4,0)</f>
        <v>0</v>
      </c>
    </row>
    <row r="41" spans="1:22" x14ac:dyDescent="0.55000000000000004">
      <c r="A41" t="s">
        <v>489</v>
      </c>
      <c r="B4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41" t="s">
        <v>469</v>
      </c>
      <c r="D41" s="95" t="s">
        <v>470</v>
      </c>
      <c r="E41" s="94" t="s">
        <v>460</v>
      </c>
      <c r="F41" s="95" t="s">
        <v>470</v>
      </c>
      <c r="G41" s="94" t="s">
        <v>460</v>
      </c>
      <c r="H41" s="94" t="s">
        <v>460</v>
      </c>
      <c r="I41" s="95" t="s">
        <v>470</v>
      </c>
      <c r="J41" s="99">
        <f>IF(Table1[[#This Row],[CIV]]="⮽",0,1)*1.5</f>
        <v>0</v>
      </c>
      <c r="K41" s="99">
        <f>IF(Table1[[#This Row],[ARC]]="⮽",0,1)*3</f>
        <v>3</v>
      </c>
      <c r="L41" s="99">
        <f>IF(Table1[[#This Row],[STR]]="⮽",0,1)*2</f>
        <v>0</v>
      </c>
      <c r="M41" s="99">
        <f>IF(Table1[[#This Row],[MP]]="⮽",0,1)</f>
        <v>1</v>
      </c>
      <c r="N41" s="99">
        <f>IF(Table1[[#This Row],[ELE]]="⮽",0,1)</f>
        <v>1</v>
      </c>
      <c r="O41" s="99">
        <f>IF(Table1[[#This Row],[FP]]="⮽",0,1)</f>
        <v>0</v>
      </c>
      <c r="P41">
        <v>2</v>
      </c>
      <c r="Q41" t="s">
        <v>472</v>
      </c>
      <c r="R41" s="101">
        <f>IF(Table1[[#This Row],[Size (S, M, L)]]="S",2,IF(Table1[[#This Row],[Size (S, M, L)]]="L",1,4))</f>
        <v>2</v>
      </c>
      <c r="S41" t="s">
        <v>462</v>
      </c>
      <c r="T41" s="101">
        <f>IF(Table1[[#This Row],[TZone]]="EST",4,IF(Table1[[#This Row],[TZone]]="CST",3,IF(Table1[[#This Row],[TZone]]="MST",2,1)))</f>
        <v>4</v>
      </c>
      <c r="U41" t="s">
        <v>463</v>
      </c>
      <c r="V41" s="101">
        <f>IF(Table1[[#This Row],[Low-cost office?]]="Yes",-4,0)</f>
        <v>0</v>
      </c>
    </row>
    <row r="42" spans="1:22" x14ac:dyDescent="0.55000000000000004">
      <c r="A42" t="s">
        <v>490</v>
      </c>
      <c r="B4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42" t="s">
        <v>464</v>
      </c>
      <c r="D42" s="95" t="s">
        <v>470</v>
      </c>
      <c r="E42" s="94" t="s">
        <v>460</v>
      </c>
      <c r="F42" s="95" t="s">
        <v>470</v>
      </c>
      <c r="G42" s="95" t="s">
        <v>470</v>
      </c>
      <c r="H42" s="95" t="s">
        <v>470</v>
      </c>
      <c r="I42" s="95" t="s">
        <v>470</v>
      </c>
      <c r="J42" s="99">
        <f>IF(Table1[[#This Row],[CIV]]="⮽",0,1)*1.5</f>
        <v>0</v>
      </c>
      <c r="K42" s="99">
        <f>IF(Table1[[#This Row],[ARC]]="⮽",0,1)*3</f>
        <v>3</v>
      </c>
      <c r="L42" s="99">
        <f>IF(Table1[[#This Row],[STR]]="⮽",0,1)*2</f>
        <v>0</v>
      </c>
      <c r="M42" s="99">
        <f>IF(Table1[[#This Row],[MP]]="⮽",0,1)</f>
        <v>0</v>
      </c>
      <c r="N42" s="99">
        <f>IF(Table1[[#This Row],[ELE]]="⮽",0,1)</f>
        <v>0</v>
      </c>
      <c r="O42" s="99">
        <f>IF(Table1[[#This Row],[FP]]="⮽",0,1)</f>
        <v>0</v>
      </c>
      <c r="P42">
        <v>3</v>
      </c>
      <c r="Q42" t="s">
        <v>472</v>
      </c>
      <c r="R42" s="101">
        <f>IF(Table1[[#This Row],[Size (S, M, L)]]="S",2,IF(Table1[[#This Row],[Size (S, M, L)]]="L",1,4))</f>
        <v>2</v>
      </c>
      <c r="S42" t="s">
        <v>462</v>
      </c>
      <c r="T42" s="101">
        <f>IF(Table1[[#This Row],[TZone]]="EST",4,IF(Table1[[#This Row],[TZone]]="CST",3,IF(Table1[[#This Row],[TZone]]="MST",2,1)))</f>
        <v>4</v>
      </c>
      <c r="U42" t="s">
        <v>463</v>
      </c>
      <c r="V42" s="101">
        <f>IF(Table1[[#This Row],[Low-cost office?]]="Yes",-4,0)</f>
        <v>0</v>
      </c>
    </row>
    <row r="43" spans="1:22" x14ac:dyDescent="0.55000000000000004">
      <c r="A43" t="s">
        <v>491</v>
      </c>
      <c r="B4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3" t="s">
        <v>469</v>
      </c>
      <c r="D43" s="95" t="s">
        <v>460</v>
      </c>
      <c r="E43" s="95" t="s">
        <v>470</v>
      </c>
      <c r="F43" s="95" t="s">
        <v>470</v>
      </c>
      <c r="G43" s="95" t="s">
        <v>470</v>
      </c>
      <c r="H43" s="95" t="s">
        <v>470</v>
      </c>
      <c r="I43" s="95" t="s">
        <v>470</v>
      </c>
      <c r="J43" s="99">
        <f>IF(Table1[[#This Row],[CIV]]="⮽",0,1)*1.5</f>
        <v>1.5</v>
      </c>
      <c r="K43" s="99">
        <f>IF(Table1[[#This Row],[ARC]]="⮽",0,1)*3</f>
        <v>0</v>
      </c>
      <c r="L43" s="99">
        <f>IF(Table1[[#This Row],[STR]]="⮽",0,1)*2</f>
        <v>0</v>
      </c>
      <c r="M43" s="99">
        <f>IF(Table1[[#This Row],[MP]]="⮽",0,1)</f>
        <v>0</v>
      </c>
      <c r="N43" s="99">
        <f>IF(Table1[[#This Row],[ELE]]="⮽",0,1)</f>
        <v>0</v>
      </c>
      <c r="O43" s="99">
        <f>IF(Table1[[#This Row],[FP]]="⮽",0,1)</f>
        <v>0</v>
      </c>
      <c r="P43">
        <v>3</v>
      </c>
      <c r="Q43" t="s">
        <v>461</v>
      </c>
      <c r="R43" s="101">
        <f>IF(Table1[[#This Row],[Size (S, M, L)]]="S",2,IF(Table1[[#This Row],[Size (S, M, L)]]="L",1,4))</f>
        <v>4</v>
      </c>
      <c r="S43" t="s">
        <v>465</v>
      </c>
      <c r="T43" s="101">
        <f>IF(Table1[[#This Row],[TZone]]="EST",4,IF(Table1[[#This Row],[TZone]]="CST",3,IF(Table1[[#This Row],[TZone]]="MST",2,1)))</f>
        <v>3</v>
      </c>
      <c r="U43" t="s">
        <v>463</v>
      </c>
      <c r="V43" s="101">
        <f>IF(Table1[[#This Row],[Low-cost office?]]="Yes",-4,0)</f>
        <v>0</v>
      </c>
    </row>
    <row r="44" spans="1:22" x14ac:dyDescent="0.55000000000000004">
      <c r="A44" t="s">
        <v>492</v>
      </c>
      <c r="B4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4" t="s">
        <v>469</v>
      </c>
      <c r="D44" s="95" t="s">
        <v>460</v>
      </c>
      <c r="E44" s="95" t="s">
        <v>460</v>
      </c>
      <c r="F44" s="95" t="s">
        <v>470</v>
      </c>
      <c r="G44" s="95" t="s">
        <v>460</v>
      </c>
      <c r="H44" s="95" t="s">
        <v>460</v>
      </c>
      <c r="I44" s="95" t="s">
        <v>470</v>
      </c>
      <c r="J44" s="99">
        <f>IF(Table1[[#This Row],[CIV]]="⮽",0,1)*1.5</f>
        <v>1.5</v>
      </c>
      <c r="K44" s="99">
        <f>IF(Table1[[#This Row],[ARC]]="⮽",0,1)*3</f>
        <v>3</v>
      </c>
      <c r="L44" s="99">
        <f>IF(Table1[[#This Row],[STR]]="⮽",0,1)*2</f>
        <v>0</v>
      </c>
      <c r="M44" s="99">
        <f>IF(Table1[[#This Row],[MP]]="⮽",0,1)</f>
        <v>1</v>
      </c>
      <c r="N44" s="99">
        <f>IF(Table1[[#This Row],[ELE]]="⮽",0,1)</f>
        <v>1</v>
      </c>
      <c r="O44" s="99">
        <f>IF(Table1[[#This Row],[FP]]="⮽",0,1)</f>
        <v>0</v>
      </c>
      <c r="P44">
        <v>2</v>
      </c>
      <c r="Q44" t="s">
        <v>472</v>
      </c>
      <c r="R44" s="101">
        <f>IF(Table1[[#This Row],[Size (S, M, L)]]="S",2,IF(Table1[[#This Row],[Size (S, M, L)]]="L",1,4))</f>
        <v>2</v>
      </c>
      <c r="S44" t="s">
        <v>473</v>
      </c>
      <c r="T44" s="101">
        <f>IF(Table1[[#This Row],[TZone]]="EST",4,IF(Table1[[#This Row],[TZone]]="CST",3,IF(Table1[[#This Row],[TZone]]="MST",2,1)))</f>
        <v>2</v>
      </c>
      <c r="U44" t="s">
        <v>463</v>
      </c>
      <c r="V44" s="101">
        <f>IF(Table1[[#This Row],[Low-cost office?]]="Yes",-4,0)</f>
        <v>0</v>
      </c>
    </row>
    <row r="45" spans="1:22" x14ac:dyDescent="0.55000000000000004">
      <c r="A45" t="s">
        <v>346</v>
      </c>
      <c r="B4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5" t="s">
        <v>469</v>
      </c>
      <c r="D45" s="95" t="s">
        <v>460</v>
      </c>
      <c r="E45" s="95" t="s">
        <v>460</v>
      </c>
      <c r="F45" s="95" t="s">
        <v>460</v>
      </c>
      <c r="G45" s="95" t="s">
        <v>460</v>
      </c>
      <c r="H45" s="95" t="s">
        <v>460</v>
      </c>
      <c r="I45" s="95" t="s">
        <v>470</v>
      </c>
      <c r="J45" s="99">
        <f>IF(Table1[[#This Row],[CIV]]="⮽",0,1)*1.5</f>
        <v>1.5</v>
      </c>
      <c r="K45" s="99">
        <f>IF(Table1[[#This Row],[ARC]]="⮽",0,1)*3</f>
        <v>3</v>
      </c>
      <c r="L45" s="99">
        <f>IF(Table1[[#This Row],[STR]]="⮽",0,1)*2</f>
        <v>2</v>
      </c>
      <c r="M45" s="99">
        <f>IF(Table1[[#This Row],[MP]]="⮽",0,1)</f>
        <v>1</v>
      </c>
      <c r="N45" s="99">
        <f>IF(Table1[[#This Row],[ELE]]="⮽",0,1)</f>
        <v>1</v>
      </c>
      <c r="O45" s="99">
        <f>IF(Table1[[#This Row],[FP]]="⮽",0,1)</f>
        <v>0</v>
      </c>
      <c r="P45">
        <v>1</v>
      </c>
      <c r="Q45" t="s">
        <v>475</v>
      </c>
      <c r="R45" s="101">
        <f>IF(Table1[[#This Row],[Size (S, M, L)]]="S",2,IF(Table1[[#This Row],[Size (S, M, L)]]="L",1,4))</f>
        <v>1</v>
      </c>
      <c r="S45" t="s">
        <v>465</v>
      </c>
      <c r="T45" s="101">
        <f>IF(Table1[[#This Row],[TZone]]="EST",4,IF(Table1[[#This Row],[TZone]]="CST",3,IF(Table1[[#This Row],[TZone]]="MST",2,1)))</f>
        <v>3</v>
      </c>
      <c r="U45" t="s">
        <v>463</v>
      </c>
      <c r="V45" s="101">
        <f>IF(Table1[[#This Row],[Low-cost office?]]="Yes",-4,0)</f>
        <v>0</v>
      </c>
    </row>
    <row r="46" spans="1:22" x14ac:dyDescent="0.55000000000000004">
      <c r="A46" s="97" t="s">
        <v>493</v>
      </c>
      <c r="B4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6" t="s">
        <v>494</v>
      </c>
      <c r="D46" s="94"/>
      <c r="E46" s="94"/>
      <c r="F46" s="94"/>
      <c r="G46" s="94"/>
      <c r="H46" s="94"/>
      <c r="I46" s="94"/>
      <c r="J46" s="98">
        <f>IF(Table1[[#This Row],[CIV]]="⮽",0,1)*1.5</f>
        <v>1.5</v>
      </c>
      <c r="K46" s="98">
        <f>IF(Table1[[#This Row],[ARC]]="⮽",0,1)*3</f>
        <v>3</v>
      </c>
      <c r="L46" s="98">
        <f>IF(Table1[[#This Row],[STR]]="⮽",0,1)*2</f>
        <v>2</v>
      </c>
      <c r="M46" s="98">
        <f>IF(Table1[[#This Row],[MP]]="⮽",0,1)</f>
        <v>1</v>
      </c>
      <c r="N46" s="98">
        <f>IF(Table1[[#This Row],[ELE]]="⮽",0,1)</f>
        <v>1</v>
      </c>
      <c r="O46" s="98">
        <f>IF(Table1[[#This Row],[FP]]="⮽",0,1)</f>
        <v>1</v>
      </c>
      <c r="R46" s="101">
        <f>IF(Table1[[#This Row],[Size (S, M, L)]]="S",2,IF(Table1[[#This Row],[Size (S, M, L)]]="L",1,4))</f>
        <v>4</v>
      </c>
      <c r="T46" s="101">
        <f>IF(Table1[[#This Row],[TZone]]="EST",4,IF(Table1[[#This Row],[TZone]]="CST",3,IF(Table1[[#This Row],[TZone]]="MST",2,1)))</f>
        <v>1</v>
      </c>
      <c r="V46" s="101">
        <f>IF(Table1[[#This Row],[Low-cost office?]]="Yes",-4,0)</f>
        <v>0</v>
      </c>
    </row>
    <row r="47" spans="1:22" x14ac:dyDescent="0.55000000000000004">
      <c r="A47" t="s">
        <v>495</v>
      </c>
      <c r="B4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7" t="s">
        <v>459</v>
      </c>
      <c r="D47" s="94" t="s">
        <v>460</v>
      </c>
      <c r="E47" s="95" t="s">
        <v>470</v>
      </c>
      <c r="F47" s="94" t="s">
        <v>460</v>
      </c>
      <c r="G47" s="94" t="s">
        <v>460</v>
      </c>
      <c r="H47" s="94" t="s">
        <v>460</v>
      </c>
      <c r="I47" s="95" t="s">
        <v>470</v>
      </c>
      <c r="J47" s="99">
        <f>IF(Table1[[#This Row],[CIV]]="⮽",0,1)*1.5</f>
        <v>1.5</v>
      </c>
      <c r="K47" s="99">
        <f>IF(Table1[[#This Row],[ARC]]="⮽",0,1)*3</f>
        <v>0</v>
      </c>
      <c r="L47" s="99">
        <f>IF(Table1[[#This Row],[STR]]="⮽",0,1)*2</f>
        <v>2</v>
      </c>
      <c r="M47" s="99">
        <f>IF(Table1[[#This Row],[MP]]="⮽",0,1)</f>
        <v>1</v>
      </c>
      <c r="N47" s="99">
        <f>IF(Table1[[#This Row],[ELE]]="⮽",0,1)</f>
        <v>1</v>
      </c>
      <c r="O47" s="99">
        <f>IF(Table1[[#This Row],[FP]]="⮽",0,1)</f>
        <v>0</v>
      </c>
      <c r="P47">
        <v>2</v>
      </c>
      <c r="Q47" t="s">
        <v>475</v>
      </c>
      <c r="R47" s="101">
        <f>IF(Table1[[#This Row],[Size (S, M, L)]]="S",2,IF(Table1[[#This Row],[Size (S, M, L)]]="L",1,4))</f>
        <v>1</v>
      </c>
      <c r="S47" t="s">
        <v>462</v>
      </c>
      <c r="T47" s="101">
        <f>IF(Table1[[#This Row],[TZone]]="EST",4,IF(Table1[[#This Row],[TZone]]="CST",3,IF(Table1[[#This Row],[TZone]]="MST",2,1)))</f>
        <v>4</v>
      </c>
      <c r="U47" t="s">
        <v>463</v>
      </c>
      <c r="V47" s="101">
        <f>IF(Table1[[#This Row],[Low-cost office?]]="Yes",-4,0)</f>
        <v>0</v>
      </c>
    </row>
    <row r="48" spans="1:22" x14ac:dyDescent="0.55000000000000004">
      <c r="A48" t="s">
        <v>496</v>
      </c>
      <c r="B4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8" t="s">
        <v>464</v>
      </c>
      <c r="D48" s="94" t="s">
        <v>460</v>
      </c>
      <c r="E48" s="95" t="s">
        <v>470</v>
      </c>
      <c r="F48" s="94" t="s">
        <v>460</v>
      </c>
      <c r="G48" s="94" t="s">
        <v>470</v>
      </c>
      <c r="H48" s="95" t="s">
        <v>470</v>
      </c>
      <c r="I48" s="95" t="s">
        <v>470</v>
      </c>
      <c r="J48" s="99">
        <f>IF(Table1[[#This Row],[CIV]]="⮽",0,1)*1.5</f>
        <v>1.5</v>
      </c>
      <c r="K48" s="99">
        <f>IF(Table1[[#This Row],[ARC]]="⮽",0,1)*3</f>
        <v>0</v>
      </c>
      <c r="L48" s="99">
        <f>IF(Table1[[#This Row],[STR]]="⮽",0,1)*2</f>
        <v>2</v>
      </c>
      <c r="M48" s="99">
        <f>IF(Table1[[#This Row],[MP]]="⮽",0,1)</f>
        <v>0</v>
      </c>
      <c r="N48" s="99">
        <f>IF(Table1[[#This Row],[ELE]]="⮽",0,1)</f>
        <v>0</v>
      </c>
      <c r="O48" s="99">
        <f>IF(Table1[[#This Row],[FP]]="⮽",0,1)</f>
        <v>0</v>
      </c>
      <c r="P48">
        <v>2</v>
      </c>
      <c r="Q48" t="s">
        <v>461</v>
      </c>
      <c r="R48" s="101">
        <f>IF(Table1[[#This Row],[Size (S, M, L)]]="S",2,IF(Table1[[#This Row],[Size (S, M, L)]]="L",1,4))</f>
        <v>4</v>
      </c>
      <c r="S48" t="s">
        <v>465</v>
      </c>
      <c r="T48" s="101">
        <f>IF(Table1[[#This Row],[TZone]]="EST",4,IF(Table1[[#This Row],[TZone]]="CST",3,IF(Table1[[#This Row],[TZone]]="MST",2,1)))</f>
        <v>3</v>
      </c>
      <c r="U48" t="s">
        <v>463</v>
      </c>
      <c r="V48" s="101">
        <f>IF(Table1[[#This Row],[Low-cost office?]]="Yes",-4,0)</f>
        <v>0</v>
      </c>
    </row>
    <row r="49" spans="1:22" x14ac:dyDescent="0.55000000000000004">
      <c r="A49" t="s">
        <v>497</v>
      </c>
      <c r="B4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9" t="s">
        <v>469</v>
      </c>
      <c r="D49" s="94" t="s">
        <v>460</v>
      </c>
      <c r="E49" s="95" t="s">
        <v>470</v>
      </c>
      <c r="F49" s="94" t="s">
        <v>460</v>
      </c>
      <c r="G49" s="94" t="s">
        <v>460</v>
      </c>
      <c r="H49" s="94" t="s">
        <v>460</v>
      </c>
      <c r="I49" s="95" t="s">
        <v>470</v>
      </c>
      <c r="J49" s="99">
        <f>IF(Table1[[#This Row],[CIV]]="⮽",0,1)*1.5</f>
        <v>1.5</v>
      </c>
      <c r="K49" s="99">
        <f>IF(Table1[[#This Row],[ARC]]="⮽",0,1)*3</f>
        <v>0</v>
      </c>
      <c r="L49" s="99">
        <f>IF(Table1[[#This Row],[STR]]="⮽",0,1)*2</f>
        <v>2</v>
      </c>
      <c r="M49" s="99">
        <f>IF(Table1[[#This Row],[MP]]="⮽",0,1)</f>
        <v>1</v>
      </c>
      <c r="N49" s="99">
        <f>IF(Table1[[#This Row],[ELE]]="⮽",0,1)</f>
        <v>1</v>
      </c>
      <c r="O49" s="99">
        <f>IF(Table1[[#This Row],[FP]]="⮽",0,1)</f>
        <v>0</v>
      </c>
      <c r="P49">
        <v>1</v>
      </c>
      <c r="Q49" t="s">
        <v>461</v>
      </c>
      <c r="R49" s="101">
        <f>IF(Table1[[#This Row],[Size (S, M, L)]]="S",2,IF(Table1[[#This Row],[Size (S, M, L)]]="L",1,4))</f>
        <v>4</v>
      </c>
      <c r="S49" t="s">
        <v>465</v>
      </c>
      <c r="T49" s="101">
        <f>IF(Table1[[#This Row],[TZone]]="EST",4,IF(Table1[[#This Row],[TZone]]="CST",3,IF(Table1[[#This Row],[TZone]]="MST",2,1)))</f>
        <v>3</v>
      </c>
      <c r="U49" t="s">
        <v>463</v>
      </c>
      <c r="V49" s="101">
        <f>IF(Table1[[#This Row],[Low-cost office?]]="Yes",-4,0)</f>
        <v>0</v>
      </c>
    </row>
    <row r="50" spans="1:22" x14ac:dyDescent="0.55000000000000004">
      <c r="A50" t="s">
        <v>498</v>
      </c>
      <c r="B5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50" t="s">
        <v>469</v>
      </c>
      <c r="D50" s="94" t="s">
        <v>460</v>
      </c>
      <c r="E50" s="94" t="s">
        <v>460</v>
      </c>
      <c r="F50" s="94" t="s">
        <v>460</v>
      </c>
      <c r="G50" s="94" t="s">
        <v>460</v>
      </c>
      <c r="H50" s="94" t="s">
        <v>460</v>
      </c>
      <c r="I50" s="95" t="s">
        <v>470</v>
      </c>
      <c r="J50" s="99">
        <f>IF(Table1[[#This Row],[CIV]]="⮽",0,1)*1.5</f>
        <v>1.5</v>
      </c>
      <c r="K50" s="99">
        <f>IF(Table1[[#This Row],[ARC]]="⮽",0,1)*3</f>
        <v>3</v>
      </c>
      <c r="L50" s="99">
        <f>IF(Table1[[#This Row],[STR]]="⮽",0,1)*2</f>
        <v>2</v>
      </c>
      <c r="M50" s="99">
        <f>IF(Table1[[#This Row],[MP]]="⮽",0,1)</f>
        <v>1</v>
      </c>
      <c r="N50" s="99">
        <f>IF(Table1[[#This Row],[ELE]]="⮽",0,1)</f>
        <v>1</v>
      </c>
      <c r="O50" s="99">
        <f>IF(Table1[[#This Row],[FP]]="⮽",0,1)</f>
        <v>0</v>
      </c>
      <c r="P50">
        <v>1</v>
      </c>
      <c r="Q50" t="s">
        <v>475</v>
      </c>
      <c r="R50" s="101">
        <f>IF(Table1[[#This Row],[Size (S, M, L)]]="S",2,IF(Table1[[#This Row],[Size (S, M, L)]]="L",1,4))</f>
        <v>1</v>
      </c>
      <c r="S50" t="s">
        <v>465</v>
      </c>
      <c r="T50" s="101">
        <f>IF(Table1[[#This Row],[TZone]]="EST",4,IF(Table1[[#This Row],[TZone]]="CST",3,IF(Table1[[#This Row],[TZone]]="MST",2,1)))</f>
        <v>3</v>
      </c>
      <c r="U50" t="s">
        <v>463</v>
      </c>
      <c r="V50" s="101">
        <f>IF(Table1[[#This Row],[Low-cost office?]]="Yes",-4,0)</f>
        <v>0</v>
      </c>
    </row>
    <row r="51" spans="1:22" x14ac:dyDescent="0.55000000000000004">
      <c r="A51" t="s">
        <v>499</v>
      </c>
      <c r="B5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1" t="s">
        <v>459</v>
      </c>
      <c r="D51" s="95" t="s">
        <v>470</v>
      </c>
      <c r="E51" s="95" t="s">
        <v>460</v>
      </c>
      <c r="F51" s="95" t="s">
        <v>470</v>
      </c>
      <c r="G51" s="95" t="s">
        <v>470</v>
      </c>
      <c r="H51" s="95" t="s">
        <v>470</v>
      </c>
      <c r="I51" s="95" t="s">
        <v>470</v>
      </c>
      <c r="J51" s="99">
        <f>IF(Table1[[#This Row],[CIV]]="⮽",0,1)*1.5</f>
        <v>0</v>
      </c>
      <c r="K51" s="99">
        <f>IF(Table1[[#This Row],[ARC]]="⮽",0,1)*3</f>
        <v>3</v>
      </c>
      <c r="L51" s="99">
        <f>IF(Table1[[#This Row],[STR]]="⮽",0,1)*2</f>
        <v>0</v>
      </c>
      <c r="M51" s="99">
        <f>IF(Table1[[#This Row],[MP]]="⮽",0,1)</f>
        <v>0</v>
      </c>
      <c r="N51" s="99">
        <f>IF(Table1[[#This Row],[ELE]]="⮽",0,1)</f>
        <v>0</v>
      </c>
      <c r="O51" s="99">
        <f>IF(Table1[[#This Row],[FP]]="⮽",0,1)</f>
        <v>0</v>
      </c>
      <c r="P51">
        <v>3</v>
      </c>
      <c r="Q51" t="s">
        <v>472</v>
      </c>
      <c r="R51" s="101">
        <f>IF(Table1[[#This Row],[Size (S, M, L)]]="S",2,IF(Table1[[#This Row],[Size (S, M, L)]]="L",1,4))</f>
        <v>2</v>
      </c>
      <c r="S51" t="s">
        <v>465</v>
      </c>
      <c r="T51" s="101">
        <f>IF(Table1[[#This Row],[TZone]]="EST",4,IF(Table1[[#This Row],[TZone]]="CST",3,IF(Table1[[#This Row],[TZone]]="MST",2,1)))</f>
        <v>3</v>
      </c>
      <c r="U51" t="s">
        <v>463</v>
      </c>
      <c r="V51" s="101">
        <f>IF(Table1[[#This Row],[Low-cost office?]]="Yes",-4,0)</f>
        <v>0</v>
      </c>
    </row>
    <row r="52" spans="1:22" x14ac:dyDescent="0.55000000000000004">
      <c r="A52" t="s">
        <v>500</v>
      </c>
      <c r="B5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2" t="s">
        <v>469</v>
      </c>
      <c r="D52" s="95" t="s">
        <v>470</v>
      </c>
      <c r="E52" s="95" t="s">
        <v>470</v>
      </c>
      <c r="F52" s="95" t="s">
        <v>470</v>
      </c>
      <c r="G52" s="95" t="s">
        <v>460</v>
      </c>
      <c r="H52" s="95" t="s">
        <v>460</v>
      </c>
      <c r="I52" s="95" t="s">
        <v>460</v>
      </c>
      <c r="J52" s="99">
        <f>IF(Table1[[#This Row],[CIV]]="⮽",0,1)*1.5</f>
        <v>0</v>
      </c>
      <c r="K52" s="99">
        <f>IF(Table1[[#This Row],[ARC]]="⮽",0,1)*3</f>
        <v>0</v>
      </c>
      <c r="L52" s="99">
        <f>IF(Table1[[#This Row],[STR]]="⮽",0,1)*2</f>
        <v>0</v>
      </c>
      <c r="M52" s="99">
        <f>IF(Table1[[#This Row],[MP]]="⮽",0,1)</f>
        <v>1</v>
      </c>
      <c r="N52" s="99">
        <f>IF(Table1[[#This Row],[ELE]]="⮽",0,1)</f>
        <v>1</v>
      </c>
      <c r="O52" s="99">
        <f>IF(Table1[[#This Row],[FP]]="⮽",0,1)</f>
        <v>1</v>
      </c>
      <c r="P52">
        <v>2</v>
      </c>
      <c r="Q52" t="s">
        <v>461</v>
      </c>
      <c r="R52" s="101">
        <f>IF(Table1[[#This Row],[Size (S, M, L)]]="S",2,IF(Table1[[#This Row],[Size (S, M, L)]]="L",1,4))</f>
        <v>4</v>
      </c>
      <c r="S52" t="s">
        <v>465</v>
      </c>
      <c r="T52" s="101">
        <f>IF(Table1[[#This Row],[TZone]]="EST",4,IF(Table1[[#This Row],[TZone]]="CST",3,IF(Table1[[#This Row],[TZone]]="MST",2,1)))</f>
        <v>3</v>
      </c>
      <c r="U52" t="s">
        <v>463</v>
      </c>
      <c r="V52" s="101">
        <f>IF(Table1[[#This Row],[Low-cost office?]]="Yes",-4,0)</f>
        <v>0</v>
      </c>
    </row>
    <row r="53" spans="1:22" x14ac:dyDescent="0.55000000000000004">
      <c r="A53" t="s">
        <v>501</v>
      </c>
      <c r="B5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3" t="s">
        <v>469</v>
      </c>
      <c r="D53" s="95" t="s">
        <v>470</v>
      </c>
      <c r="E53" s="94" t="s">
        <v>460</v>
      </c>
      <c r="F53" s="95" t="s">
        <v>470</v>
      </c>
      <c r="G53" s="95" t="s">
        <v>470</v>
      </c>
      <c r="H53" s="95" t="s">
        <v>470</v>
      </c>
      <c r="I53" s="95" t="s">
        <v>470</v>
      </c>
      <c r="J53" s="99">
        <f>IF(Table1[[#This Row],[CIV]]="⮽",0,1)*1.5</f>
        <v>0</v>
      </c>
      <c r="K53" s="99">
        <f>IF(Table1[[#This Row],[ARC]]="⮽",0,1)*3</f>
        <v>3</v>
      </c>
      <c r="L53" s="99">
        <f>IF(Table1[[#This Row],[STR]]="⮽",0,1)*2</f>
        <v>0</v>
      </c>
      <c r="M53" s="99">
        <f>IF(Table1[[#This Row],[MP]]="⮽",0,1)</f>
        <v>0</v>
      </c>
      <c r="N53" s="99">
        <f>IF(Table1[[#This Row],[ELE]]="⮽",0,1)</f>
        <v>0</v>
      </c>
      <c r="O53" s="99">
        <f>IF(Table1[[#This Row],[FP]]="⮽",0,1)</f>
        <v>0</v>
      </c>
      <c r="P53">
        <v>3</v>
      </c>
      <c r="Q53" t="s">
        <v>472</v>
      </c>
      <c r="R53" s="101">
        <f>IF(Table1[[#This Row],[Size (S, M, L)]]="S",2,IF(Table1[[#This Row],[Size (S, M, L)]]="L",1,4))</f>
        <v>2</v>
      </c>
      <c r="S53" t="s">
        <v>465</v>
      </c>
      <c r="T53" s="101">
        <f>IF(Table1[[#This Row],[TZone]]="EST",4,IF(Table1[[#This Row],[TZone]]="CST",3,IF(Table1[[#This Row],[TZone]]="MST",2,1)))</f>
        <v>3</v>
      </c>
      <c r="U53" t="s">
        <v>463</v>
      </c>
      <c r="V53" s="101">
        <f>IF(Table1[[#This Row],[Low-cost office?]]="Yes",-4,0)</f>
        <v>0</v>
      </c>
    </row>
    <row r="54" spans="1:22" x14ac:dyDescent="0.55000000000000004">
      <c r="A54" t="s">
        <v>502</v>
      </c>
      <c r="B5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4" t="s">
        <v>469</v>
      </c>
      <c r="D54" s="95" t="s">
        <v>470</v>
      </c>
      <c r="E54" s="94" t="s">
        <v>460</v>
      </c>
      <c r="F54" s="95" t="s">
        <v>470</v>
      </c>
      <c r="G54" s="95" t="s">
        <v>470</v>
      </c>
      <c r="H54" s="95" t="s">
        <v>470</v>
      </c>
      <c r="I54" s="95" t="s">
        <v>470</v>
      </c>
      <c r="J54" s="99">
        <f>IF(Table1[[#This Row],[CIV]]="⮽",0,1)*1.5</f>
        <v>0</v>
      </c>
      <c r="K54" s="99">
        <f>IF(Table1[[#This Row],[ARC]]="⮽",0,1)*3</f>
        <v>3</v>
      </c>
      <c r="L54" s="99">
        <f>IF(Table1[[#This Row],[STR]]="⮽",0,1)*2</f>
        <v>0</v>
      </c>
      <c r="M54" s="99">
        <f>IF(Table1[[#This Row],[MP]]="⮽",0,1)</f>
        <v>0</v>
      </c>
      <c r="N54" s="99">
        <f>IF(Table1[[#This Row],[ELE]]="⮽",0,1)</f>
        <v>0</v>
      </c>
      <c r="O54" s="99">
        <f>IF(Table1[[#This Row],[FP]]="⮽",0,1)</f>
        <v>0</v>
      </c>
      <c r="P54">
        <v>3</v>
      </c>
      <c r="Q54" t="s">
        <v>472</v>
      </c>
      <c r="R54" s="101">
        <f>IF(Table1[[#This Row],[Size (S, M, L)]]="S",2,IF(Table1[[#This Row],[Size (S, M, L)]]="L",1,4))</f>
        <v>2</v>
      </c>
      <c r="S54" t="s">
        <v>465</v>
      </c>
      <c r="T54" s="101">
        <f>IF(Table1[[#This Row],[TZone]]="EST",4,IF(Table1[[#This Row],[TZone]]="CST",3,IF(Table1[[#This Row],[TZone]]="MST",2,1)))</f>
        <v>3</v>
      </c>
      <c r="U54" t="s">
        <v>463</v>
      </c>
      <c r="V54" s="101">
        <f>IF(Table1[[#This Row],[Low-cost office?]]="Yes",-4,0)</f>
        <v>0</v>
      </c>
    </row>
    <row r="55" spans="1:22" x14ac:dyDescent="0.55000000000000004">
      <c r="A55" t="s">
        <v>503</v>
      </c>
      <c r="B5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5" t="s">
        <v>469</v>
      </c>
      <c r="D55" s="95" t="s">
        <v>470</v>
      </c>
      <c r="E55" s="94" t="s">
        <v>460</v>
      </c>
      <c r="F55" s="95" t="s">
        <v>470</v>
      </c>
      <c r="G55" s="95" t="s">
        <v>470</v>
      </c>
      <c r="H55" s="95" t="s">
        <v>470</v>
      </c>
      <c r="I55" s="95" t="s">
        <v>470</v>
      </c>
      <c r="J55" s="99">
        <f>IF(Table1[[#This Row],[CIV]]="⮽",0,1)*1.5</f>
        <v>0</v>
      </c>
      <c r="K55" s="99">
        <f>IF(Table1[[#This Row],[ARC]]="⮽",0,1)*3</f>
        <v>3</v>
      </c>
      <c r="L55" s="99">
        <f>IF(Table1[[#This Row],[STR]]="⮽",0,1)*2</f>
        <v>0</v>
      </c>
      <c r="M55" s="99">
        <f>IF(Table1[[#This Row],[MP]]="⮽",0,1)</f>
        <v>0</v>
      </c>
      <c r="N55" s="99">
        <f>IF(Table1[[#This Row],[ELE]]="⮽",0,1)</f>
        <v>0</v>
      </c>
      <c r="O55" s="99">
        <f>IF(Table1[[#This Row],[FP]]="⮽",0,1)</f>
        <v>0</v>
      </c>
      <c r="P55">
        <v>3</v>
      </c>
      <c r="Q55" t="s">
        <v>472</v>
      </c>
      <c r="R55" s="101">
        <f>IF(Table1[[#This Row],[Size (S, M, L)]]="S",2,IF(Table1[[#This Row],[Size (S, M, L)]]="L",1,4))</f>
        <v>2</v>
      </c>
      <c r="S55" t="s">
        <v>465</v>
      </c>
      <c r="T55" s="101">
        <f>IF(Table1[[#This Row],[TZone]]="EST",4,IF(Table1[[#This Row],[TZone]]="CST",3,IF(Table1[[#This Row],[TZone]]="MST",2,1)))</f>
        <v>3</v>
      </c>
      <c r="U55" t="s">
        <v>463</v>
      </c>
      <c r="V55" s="101">
        <f>IF(Table1[[#This Row],[Low-cost office?]]="Yes",-4,0)</f>
        <v>0</v>
      </c>
    </row>
    <row r="56" spans="1:22" x14ac:dyDescent="0.55000000000000004">
      <c r="A56" t="s">
        <v>504</v>
      </c>
      <c r="B5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6" t="s">
        <v>464</v>
      </c>
      <c r="D56" s="95" t="s">
        <v>470</v>
      </c>
      <c r="E56" s="95" t="s">
        <v>460</v>
      </c>
      <c r="F56" s="95" t="s">
        <v>470</v>
      </c>
      <c r="G56" s="95" t="s">
        <v>470</v>
      </c>
      <c r="H56" s="95" t="s">
        <v>470</v>
      </c>
      <c r="I56" s="95" t="s">
        <v>470</v>
      </c>
      <c r="J56" s="99">
        <f>IF(Table1[[#This Row],[CIV]]="⮽",0,1)*1.5</f>
        <v>0</v>
      </c>
      <c r="K56" s="99">
        <f>IF(Table1[[#This Row],[ARC]]="⮽",0,1)*3</f>
        <v>3</v>
      </c>
      <c r="L56" s="99">
        <f>IF(Table1[[#This Row],[STR]]="⮽",0,1)*2</f>
        <v>0</v>
      </c>
      <c r="M56" s="99">
        <f>IF(Table1[[#This Row],[MP]]="⮽",0,1)</f>
        <v>0</v>
      </c>
      <c r="N56" s="99">
        <f>IF(Table1[[#This Row],[ELE]]="⮽",0,1)</f>
        <v>0</v>
      </c>
      <c r="O56" s="99">
        <f>IF(Table1[[#This Row],[FP]]="⮽",0,1)</f>
        <v>0</v>
      </c>
      <c r="P56">
        <v>3</v>
      </c>
      <c r="Q56" t="s">
        <v>472</v>
      </c>
      <c r="R56" s="101">
        <f>IF(Table1[[#This Row],[Size (S, M, L)]]="S",2,IF(Table1[[#This Row],[Size (S, M, L)]]="L",1,4))</f>
        <v>2</v>
      </c>
      <c r="S56" t="s">
        <v>465</v>
      </c>
      <c r="T56" s="101">
        <f>IF(Table1[[#This Row],[TZone]]="EST",4,IF(Table1[[#This Row],[TZone]]="CST",3,IF(Table1[[#This Row],[TZone]]="MST",2,1)))</f>
        <v>3</v>
      </c>
      <c r="U56" t="s">
        <v>463</v>
      </c>
      <c r="V56" s="101">
        <f>IF(Table1[[#This Row],[Low-cost office?]]="Yes",-4,0)</f>
        <v>0</v>
      </c>
    </row>
    <row r="57" spans="1:22" x14ac:dyDescent="0.55000000000000004">
      <c r="A57" t="s">
        <v>505</v>
      </c>
      <c r="B5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7" t="s">
        <v>467</v>
      </c>
      <c r="D57" s="95" t="s">
        <v>470</v>
      </c>
      <c r="E57" s="94" t="s">
        <v>460</v>
      </c>
      <c r="F57" s="95" t="s">
        <v>470</v>
      </c>
      <c r="G57" s="95" t="s">
        <v>470</v>
      </c>
      <c r="H57" s="95" t="s">
        <v>470</v>
      </c>
      <c r="I57" s="95" t="s">
        <v>470</v>
      </c>
      <c r="J57" s="99">
        <f>IF(Table1[[#This Row],[CIV]]="⮽",0,1)*1.5</f>
        <v>0</v>
      </c>
      <c r="K57" s="99">
        <f>IF(Table1[[#This Row],[ARC]]="⮽",0,1)*3</f>
        <v>3</v>
      </c>
      <c r="L57" s="99">
        <f>IF(Table1[[#This Row],[STR]]="⮽",0,1)*2</f>
        <v>0</v>
      </c>
      <c r="M57" s="99">
        <f>IF(Table1[[#This Row],[MP]]="⮽",0,1)</f>
        <v>0</v>
      </c>
      <c r="N57" s="99">
        <f>IF(Table1[[#This Row],[ELE]]="⮽",0,1)</f>
        <v>0</v>
      </c>
      <c r="O57" s="99">
        <f>IF(Table1[[#This Row],[FP]]="⮽",0,1)</f>
        <v>0</v>
      </c>
      <c r="P57">
        <v>3</v>
      </c>
      <c r="Q57" t="s">
        <v>472</v>
      </c>
      <c r="R57" s="101">
        <f>IF(Table1[[#This Row],[Size (S, M, L)]]="S",2,IF(Table1[[#This Row],[Size (S, M, L)]]="L",1,4))</f>
        <v>2</v>
      </c>
      <c r="S57" t="s">
        <v>465</v>
      </c>
      <c r="T57" s="101">
        <f>IF(Table1[[#This Row],[TZone]]="EST",4,IF(Table1[[#This Row],[TZone]]="CST",3,IF(Table1[[#This Row],[TZone]]="MST",2,1)))</f>
        <v>3</v>
      </c>
      <c r="U57" t="s">
        <v>463</v>
      </c>
      <c r="V57" s="101">
        <f>IF(Table1[[#This Row],[Low-cost office?]]="Yes",-4,0)</f>
        <v>0</v>
      </c>
    </row>
    <row r="58" spans="1:22" x14ac:dyDescent="0.55000000000000004">
      <c r="A58" t="s">
        <v>506</v>
      </c>
      <c r="B5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8" t="s">
        <v>464</v>
      </c>
      <c r="D58" s="95" t="s">
        <v>470</v>
      </c>
      <c r="E58" s="94" t="s">
        <v>460</v>
      </c>
      <c r="F58" s="95" t="s">
        <v>470</v>
      </c>
      <c r="G58" s="95" t="s">
        <v>470</v>
      </c>
      <c r="H58" s="95" t="s">
        <v>470</v>
      </c>
      <c r="I58" s="95" t="s">
        <v>470</v>
      </c>
      <c r="J58" s="99">
        <f>IF(Table1[[#This Row],[CIV]]="⮽",0,1)*1.5</f>
        <v>0</v>
      </c>
      <c r="K58" s="99">
        <f>IF(Table1[[#This Row],[ARC]]="⮽",0,1)*3</f>
        <v>3</v>
      </c>
      <c r="L58" s="99">
        <f>IF(Table1[[#This Row],[STR]]="⮽",0,1)*2</f>
        <v>0</v>
      </c>
      <c r="M58" s="99">
        <f>IF(Table1[[#This Row],[MP]]="⮽",0,1)</f>
        <v>0</v>
      </c>
      <c r="N58" s="99">
        <f>IF(Table1[[#This Row],[ELE]]="⮽",0,1)</f>
        <v>0</v>
      </c>
      <c r="O58" s="99">
        <f>IF(Table1[[#This Row],[FP]]="⮽",0,1)</f>
        <v>0</v>
      </c>
      <c r="P58">
        <v>3</v>
      </c>
      <c r="Q58" t="s">
        <v>472</v>
      </c>
      <c r="R58" s="101">
        <f>IF(Table1[[#This Row],[Size (S, M, L)]]="S",2,IF(Table1[[#This Row],[Size (S, M, L)]]="L",1,4))</f>
        <v>2</v>
      </c>
      <c r="S58" t="s">
        <v>465</v>
      </c>
      <c r="T58" s="101">
        <f>IF(Table1[[#This Row],[TZone]]="EST",4,IF(Table1[[#This Row],[TZone]]="CST",3,IF(Table1[[#This Row],[TZone]]="MST",2,1)))</f>
        <v>3</v>
      </c>
      <c r="U58" t="s">
        <v>463</v>
      </c>
      <c r="V58" s="101">
        <f>IF(Table1[[#This Row],[Low-cost office?]]="Yes",-4,0)</f>
        <v>0</v>
      </c>
    </row>
    <row r="59" spans="1:22" x14ac:dyDescent="0.55000000000000004">
      <c r="A59" t="s">
        <v>507</v>
      </c>
      <c r="B5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59" t="s">
        <v>459</v>
      </c>
      <c r="D59" s="95" t="s">
        <v>460</v>
      </c>
      <c r="E59" s="95" t="s">
        <v>460</v>
      </c>
      <c r="F59" s="95" t="s">
        <v>460</v>
      </c>
      <c r="G59" s="95" t="s">
        <v>460</v>
      </c>
      <c r="H59" s="95" t="s">
        <v>460</v>
      </c>
      <c r="I59" s="95" t="s">
        <v>460</v>
      </c>
      <c r="J59" s="99">
        <f>IF(Table1[[#This Row],[CIV]]="⮽",0,1)*1.5</f>
        <v>1.5</v>
      </c>
      <c r="K59" s="99">
        <f>IF(Table1[[#This Row],[ARC]]="⮽",0,1)*3</f>
        <v>3</v>
      </c>
      <c r="L59" s="99">
        <f>IF(Table1[[#This Row],[STR]]="⮽",0,1)*2</f>
        <v>2</v>
      </c>
      <c r="M59" s="99">
        <f>IF(Table1[[#This Row],[MP]]="⮽",0,1)</f>
        <v>1</v>
      </c>
      <c r="N59" s="99">
        <f>IF(Table1[[#This Row],[ELE]]="⮽",0,1)</f>
        <v>1</v>
      </c>
      <c r="O59" s="99">
        <f>IF(Table1[[#This Row],[FP]]="⮽",0,1)</f>
        <v>1</v>
      </c>
      <c r="P59">
        <v>2</v>
      </c>
      <c r="Q59" t="s">
        <v>475</v>
      </c>
      <c r="R59" s="101">
        <f>IF(Table1[[#This Row],[Size (S, M, L)]]="S",2,IF(Table1[[#This Row],[Size (S, M, L)]]="L",1,4))</f>
        <v>1</v>
      </c>
      <c r="S59" t="s">
        <v>465</v>
      </c>
      <c r="T59" s="101">
        <f>IF(Table1[[#This Row],[TZone]]="EST",4,IF(Table1[[#This Row],[TZone]]="CST",3,IF(Table1[[#This Row],[TZone]]="MST",2,1)))</f>
        <v>3</v>
      </c>
      <c r="U59" t="s">
        <v>479</v>
      </c>
      <c r="V59" s="101">
        <f>IF(Table1[[#This Row],[Low-cost office?]]="Yes",-4,0)</f>
        <v>-4</v>
      </c>
    </row>
    <row r="60" spans="1:22" x14ac:dyDescent="0.55000000000000004">
      <c r="A60" t="s">
        <v>424</v>
      </c>
      <c r="B6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60" t="s">
        <v>469</v>
      </c>
      <c r="D60" s="94" t="s">
        <v>460</v>
      </c>
      <c r="E60" s="95" t="s">
        <v>470</v>
      </c>
      <c r="F60" s="95" t="s">
        <v>470</v>
      </c>
      <c r="G60" s="95" t="s">
        <v>470</v>
      </c>
      <c r="H60" s="95" t="s">
        <v>470</v>
      </c>
      <c r="I60" s="95" t="s">
        <v>470</v>
      </c>
      <c r="J60" s="99">
        <f>IF(Table1[[#This Row],[CIV]]="⮽",0,1)*1.5</f>
        <v>1.5</v>
      </c>
      <c r="K60" s="99">
        <f>IF(Table1[[#This Row],[ARC]]="⮽",0,1)*3</f>
        <v>0</v>
      </c>
      <c r="L60" s="99">
        <f>IF(Table1[[#This Row],[STR]]="⮽",0,1)*2</f>
        <v>0</v>
      </c>
      <c r="M60" s="99">
        <f>IF(Table1[[#This Row],[MP]]="⮽",0,1)</f>
        <v>0</v>
      </c>
      <c r="N60" s="99">
        <f>IF(Table1[[#This Row],[ELE]]="⮽",0,1)</f>
        <v>0</v>
      </c>
      <c r="O60" s="99">
        <f>IF(Table1[[#This Row],[FP]]="⮽",0,1)</f>
        <v>0</v>
      </c>
      <c r="P60">
        <v>2</v>
      </c>
      <c r="Q60" t="s">
        <v>461</v>
      </c>
      <c r="R60" s="101">
        <f>IF(Table1[[#This Row],[Size (S, M, L)]]="S",2,IF(Table1[[#This Row],[Size (S, M, L)]]="L",1,4))</f>
        <v>4</v>
      </c>
      <c r="S60" t="s">
        <v>462</v>
      </c>
      <c r="T60" s="101">
        <f>IF(Table1[[#This Row],[TZone]]="EST",4,IF(Table1[[#This Row],[TZone]]="CST",3,IF(Table1[[#This Row],[TZone]]="MST",2,1)))</f>
        <v>4</v>
      </c>
      <c r="U60" t="s">
        <v>463</v>
      </c>
      <c r="V60" s="101">
        <f>IF(Table1[[#This Row],[Low-cost office?]]="Yes",-4,0)</f>
        <v>0</v>
      </c>
    </row>
    <row r="61" spans="1:22" x14ac:dyDescent="0.55000000000000004">
      <c r="A61" t="s">
        <v>508</v>
      </c>
      <c r="B6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61" t="s">
        <v>469</v>
      </c>
      <c r="D61" s="94" t="s">
        <v>460</v>
      </c>
      <c r="E61" s="94" t="s">
        <v>460</v>
      </c>
      <c r="F61" s="95" t="s">
        <v>470</v>
      </c>
      <c r="G61" s="95" t="s">
        <v>470</v>
      </c>
      <c r="H61" s="95" t="s">
        <v>470</v>
      </c>
      <c r="I61" s="95" t="s">
        <v>470</v>
      </c>
      <c r="J61" s="99">
        <f>IF(Table1[[#This Row],[CIV]]="⮽",0,1)*1.5</f>
        <v>1.5</v>
      </c>
      <c r="K61" s="99">
        <f>IF(Table1[[#This Row],[ARC]]="⮽",0,1)*3</f>
        <v>3</v>
      </c>
      <c r="L61" s="99">
        <f>IF(Table1[[#This Row],[STR]]="⮽",0,1)*2</f>
        <v>0</v>
      </c>
      <c r="M61" s="99">
        <f>IF(Table1[[#This Row],[MP]]="⮽",0,1)</f>
        <v>0</v>
      </c>
      <c r="N61" s="99">
        <f>IF(Table1[[#This Row],[ELE]]="⮽",0,1)</f>
        <v>0</v>
      </c>
      <c r="O61" s="99">
        <f>IF(Table1[[#This Row],[FP]]="⮽",0,1)</f>
        <v>0</v>
      </c>
      <c r="P61">
        <v>2</v>
      </c>
      <c r="Q61" t="s">
        <v>472</v>
      </c>
      <c r="R61" s="101">
        <f>IF(Table1[[#This Row],[Size (S, M, L)]]="S",2,IF(Table1[[#This Row],[Size (S, M, L)]]="L",1,4))</f>
        <v>2</v>
      </c>
      <c r="S61" t="s">
        <v>465</v>
      </c>
      <c r="T61" s="101">
        <f>IF(Table1[[#This Row],[TZone]]="EST",4,IF(Table1[[#This Row],[TZone]]="CST",3,IF(Table1[[#This Row],[TZone]]="MST",2,1)))</f>
        <v>3</v>
      </c>
      <c r="U61" t="s">
        <v>463</v>
      </c>
      <c r="V61" s="101">
        <f>IF(Table1[[#This Row],[Low-cost office?]]="Yes",-4,0)</f>
        <v>0</v>
      </c>
    </row>
    <row r="62" spans="1:22" x14ac:dyDescent="0.55000000000000004">
      <c r="A62" t="s">
        <v>509</v>
      </c>
      <c r="B6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62" t="s">
        <v>469</v>
      </c>
      <c r="D62" s="94" t="s">
        <v>460</v>
      </c>
      <c r="E62" s="94" t="s">
        <v>460</v>
      </c>
      <c r="F62" s="95" t="s">
        <v>470</v>
      </c>
      <c r="G62" s="94" t="s">
        <v>460</v>
      </c>
      <c r="H62" s="94" t="s">
        <v>460</v>
      </c>
      <c r="I62" s="95" t="s">
        <v>470</v>
      </c>
      <c r="J62" s="99">
        <f>IF(Table1[[#This Row],[CIV]]="⮽",0,1)*1.5</f>
        <v>1.5</v>
      </c>
      <c r="K62" s="99">
        <f>IF(Table1[[#This Row],[ARC]]="⮽",0,1)*3</f>
        <v>3</v>
      </c>
      <c r="L62" s="99">
        <f>IF(Table1[[#This Row],[STR]]="⮽",0,1)*2</f>
        <v>0</v>
      </c>
      <c r="M62" s="99">
        <f>IF(Table1[[#This Row],[MP]]="⮽",0,1)</f>
        <v>1</v>
      </c>
      <c r="N62" s="99">
        <f>IF(Table1[[#This Row],[ELE]]="⮽",0,1)</f>
        <v>1</v>
      </c>
      <c r="O62" s="99">
        <f>IF(Table1[[#This Row],[FP]]="⮽",0,1)</f>
        <v>0</v>
      </c>
      <c r="P62">
        <v>1</v>
      </c>
      <c r="Q62" t="s">
        <v>472</v>
      </c>
      <c r="R62" s="101">
        <f>IF(Table1[[#This Row],[Size (S, M, L)]]="S",2,IF(Table1[[#This Row],[Size (S, M, L)]]="L",1,4))</f>
        <v>2</v>
      </c>
      <c r="S62" t="s">
        <v>465</v>
      </c>
      <c r="T62" s="101">
        <f>IF(Table1[[#This Row],[TZone]]="EST",4,IF(Table1[[#This Row],[TZone]]="CST",3,IF(Table1[[#This Row],[TZone]]="MST",2,1)))</f>
        <v>3</v>
      </c>
      <c r="U62" t="s">
        <v>463</v>
      </c>
      <c r="V62" s="101">
        <f>IF(Table1[[#This Row],[Low-cost office?]]="Yes",-4,0)</f>
        <v>0</v>
      </c>
    </row>
    <row r="63" spans="1:22" x14ac:dyDescent="0.55000000000000004">
      <c r="A63" t="s">
        <v>510</v>
      </c>
      <c r="B6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63" t="s">
        <v>469</v>
      </c>
      <c r="D63" s="95" t="s">
        <v>460</v>
      </c>
      <c r="E63" s="94" t="s">
        <v>470</v>
      </c>
      <c r="F63" s="94" t="s">
        <v>470</v>
      </c>
      <c r="G63" s="94" t="s">
        <v>470</v>
      </c>
      <c r="H63" s="94" t="s">
        <v>470</v>
      </c>
      <c r="I63" s="94" t="s">
        <v>470</v>
      </c>
      <c r="J63" s="98">
        <f>IF(Table1[[#This Row],[CIV]]="⮽",0,1)*1.5</f>
        <v>1.5</v>
      </c>
      <c r="K63" s="98">
        <f>IF(Table1[[#This Row],[ARC]]="⮽",0,1)*3</f>
        <v>0</v>
      </c>
      <c r="L63" s="98">
        <f>IF(Table1[[#This Row],[STR]]="⮽",0,1)*2</f>
        <v>0</v>
      </c>
      <c r="M63" s="98">
        <f>IF(Table1[[#This Row],[MP]]="⮽",0,1)</f>
        <v>0</v>
      </c>
      <c r="N63" s="98">
        <f>IF(Table1[[#This Row],[ELE]]="⮽",0,1)</f>
        <v>0</v>
      </c>
      <c r="O63" s="98">
        <f>IF(Table1[[#This Row],[FP]]="⮽",0,1)</f>
        <v>0</v>
      </c>
      <c r="P63">
        <v>3</v>
      </c>
      <c r="Q63" t="s">
        <v>472</v>
      </c>
      <c r="R63" s="101">
        <f>IF(Table1[[#This Row],[Size (S, M, L)]]="S",2,IF(Table1[[#This Row],[Size (S, M, L)]]="L",1,4))</f>
        <v>2</v>
      </c>
      <c r="S63" t="s">
        <v>462</v>
      </c>
      <c r="T63" s="101">
        <f>IF(Table1[[#This Row],[TZone]]="EST",4,IF(Table1[[#This Row],[TZone]]="CST",3,IF(Table1[[#This Row],[TZone]]="MST",2,1)))</f>
        <v>4</v>
      </c>
      <c r="U63" t="s">
        <v>463</v>
      </c>
      <c r="V63" s="101">
        <f>IF(Table1[[#This Row],[Low-cost office?]]="Yes",-4,0)</f>
        <v>0</v>
      </c>
    </row>
    <row r="64" spans="1:22" x14ac:dyDescent="0.55000000000000004">
      <c r="A64" t="s">
        <v>511</v>
      </c>
      <c r="B6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64" t="s">
        <v>469</v>
      </c>
      <c r="D64" s="94" t="s">
        <v>460</v>
      </c>
      <c r="E64" s="94" t="s">
        <v>460</v>
      </c>
      <c r="F64" s="95" t="s">
        <v>470</v>
      </c>
      <c r="G64" s="95" t="s">
        <v>470</v>
      </c>
      <c r="H64" s="95" t="s">
        <v>470</v>
      </c>
      <c r="I64" s="95" t="s">
        <v>470</v>
      </c>
      <c r="J64" s="99">
        <f>IF(Table1[[#This Row],[CIV]]="⮽",0,1)*1.5</f>
        <v>1.5</v>
      </c>
      <c r="K64" s="99">
        <f>IF(Table1[[#This Row],[ARC]]="⮽",0,1)*3</f>
        <v>3</v>
      </c>
      <c r="L64" s="99">
        <f>IF(Table1[[#This Row],[STR]]="⮽",0,1)*2</f>
        <v>0</v>
      </c>
      <c r="M64" s="99">
        <f>IF(Table1[[#This Row],[MP]]="⮽",0,1)</f>
        <v>0</v>
      </c>
      <c r="N64" s="99">
        <f>IF(Table1[[#This Row],[ELE]]="⮽",0,1)</f>
        <v>0</v>
      </c>
      <c r="O64" s="99">
        <f>IF(Table1[[#This Row],[FP]]="⮽",0,1)</f>
        <v>0</v>
      </c>
      <c r="P64">
        <v>3</v>
      </c>
      <c r="Q64" t="s">
        <v>472</v>
      </c>
      <c r="R64" s="101">
        <f>IF(Table1[[#This Row],[Size (S, M, L)]]="S",2,IF(Table1[[#This Row],[Size (S, M, L)]]="L",1,4))</f>
        <v>2</v>
      </c>
      <c r="S64" t="s">
        <v>485</v>
      </c>
      <c r="T64" s="101">
        <f>IF(Table1[[#This Row],[TZone]]="EST",4,IF(Table1[[#This Row],[TZone]]="CST",3,IF(Table1[[#This Row],[TZone]]="MST",2,1)))</f>
        <v>1</v>
      </c>
      <c r="U64" t="s">
        <v>463</v>
      </c>
      <c r="V64" s="101">
        <f>IF(Table1[[#This Row],[Low-cost office?]]="Yes",-4,0)</f>
        <v>0</v>
      </c>
    </row>
    <row r="65" spans="1:22" x14ac:dyDescent="0.55000000000000004">
      <c r="A65" t="s">
        <v>512</v>
      </c>
      <c r="B6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65" t="s">
        <v>469</v>
      </c>
      <c r="D65" s="95" t="s">
        <v>470</v>
      </c>
      <c r="E65" s="95" t="s">
        <v>460</v>
      </c>
      <c r="F65" s="95" t="s">
        <v>470</v>
      </c>
      <c r="G65" s="95" t="s">
        <v>470</v>
      </c>
      <c r="H65" s="95" t="s">
        <v>470</v>
      </c>
      <c r="I65" s="95" t="s">
        <v>470</v>
      </c>
      <c r="J65" s="99">
        <f>IF(Table1[[#This Row],[CIV]]="⮽",0,1)*1.5</f>
        <v>0</v>
      </c>
      <c r="K65" s="99">
        <f>IF(Table1[[#This Row],[ARC]]="⮽",0,1)*3</f>
        <v>3</v>
      </c>
      <c r="L65" s="99">
        <f>IF(Table1[[#This Row],[STR]]="⮽",0,1)*2</f>
        <v>0</v>
      </c>
      <c r="M65" s="99">
        <f>IF(Table1[[#This Row],[MP]]="⮽",0,1)</f>
        <v>0</v>
      </c>
      <c r="N65" s="99">
        <f>IF(Table1[[#This Row],[ELE]]="⮽",0,1)</f>
        <v>0</v>
      </c>
      <c r="O65" s="99">
        <f>IF(Table1[[#This Row],[FP]]="⮽",0,1)</f>
        <v>0</v>
      </c>
      <c r="P65">
        <v>2</v>
      </c>
      <c r="Q65" t="s">
        <v>472</v>
      </c>
      <c r="R65" s="101">
        <f>IF(Table1[[#This Row],[Size (S, M, L)]]="S",2,IF(Table1[[#This Row],[Size (S, M, L)]]="L",1,4))</f>
        <v>2</v>
      </c>
      <c r="S65" t="s">
        <v>462</v>
      </c>
      <c r="T65" s="101">
        <f>IF(Table1[[#This Row],[TZone]]="EST",4,IF(Table1[[#This Row],[TZone]]="CST",3,IF(Table1[[#This Row],[TZone]]="MST",2,1)))</f>
        <v>4</v>
      </c>
      <c r="U65" t="s">
        <v>463</v>
      </c>
      <c r="V65" s="101">
        <f>IF(Table1[[#This Row],[Low-cost office?]]="Yes",-4,0)</f>
        <v>0</v>
      </c>
    </row>
    <row r="66" spans="1:22" x14ac:dyDescent="0.55000000000000004">
      <c r="A66" t="s">
        <v>513</v>
      </c>
      <c r="B6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66" t="s">
        <v>469</v>
      </c>
      <c r="D66" s="95" t="s">
        <v>470</v>
      </c>
      <c r="E66" s="95" t="s">
        <v>460</v>
      </c>
      <c r="F66" s="95" t="s">
        <v>470</v>
      </c>
      <c r="G66" s="95" t="s">
        <v>470</v>
      </c>
      <c r="H66" s="95" t="s">
        <v>470</v>
      </c>
      <c r="I66" s="95" t="s">
        <v>470</v>
      </c>
      <c r="J66" s="99">
        <f>IF(Table1[[#This Row],[CIV]]="⮽",0,1)*1.5</f>
        <v>0</v>
      </c>
      <c r="K66" s="99">
        <f>IF(Table1[[#This Row],[ARC]]="⮽",0,1)*3</f>
        <v>3</v>
      </c>
      <c r="L66" s="99">
        <f>IF(Table1[[#This Row],[STR]]="⮽",0,1)*2</f>
        <v>0</v>
      </c>
      <c r="M66" s="99">
        <f>IF(Table1[[#This Row],[MP]]="⮽",0,1)</f>
        <v>0</v>
      </c>
      <c r="N66" s="99">
        <f>IF(Table1[[#This Row],[ELE]]="⮽",0,1)</f>
        <v>0</v>
      </c>
      <c r="O66" s="99">
        <f>IF(Table1[[#This Row],[FP]]="⮽",0,1)</f>
        <v>0</v>
      </c>
      <c r="P66">
        <v>2</v>
      </c>
      <c r="Q66" t="s">
        <v>472</v>
      </c>
      <c r="R66" s="101">
        <f>IF(Table1[[#This Row],[Size (S, M, L)]]="S",2,IF(Table1[[#This Row],[Size (S, M, L)]]="L",1,4))</f>
        <v>2</v>
      </c>
      <c r="S66" t="s">
        <v>462</v>
      </c>
      <c r="T66" s="101">
        <f>IF(Table1[[#This Row],[TZone]]="EST",4,IF(Table1[[#This Row],[TZone]]="CST",3,IF(Table1[[#This Row],[TZone]]="MST",2,1)))</f>
        <v>4</v>
      </c>
      <c r="U66" t="s">
        <v>463</v>
      </c>
      <c r="V66" s="101">
        <f>IF(Table1[[#This Row],[Low-cost office?]]="Yes",-4,0)</f>
        <v>0</v>
      </c>
    </row>
    <row r="67" spans="1:22" x14ac:dyDescent="0.55000000000000004">
      <c r="A67" t="s">
        <v>514</v>
      </c>
      <c r="B6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67" t="s">
        <v>459</v>
      </c>
      <c r="D67" s="94" t="s">
        <v>470</v>
      </c>
      <c r="E67" s="95" t="s">
        <v>460</v>
      </c>
      <c r="F67" s="94" t="s">
        <v>470</v>
      </c>
      <c r="G67" s="94" t="s">
        <v>470</v>
      </c>
      <c r="H67" s="94" t="s">
        <v>470</v>
      </c>
      <c r="I67" s="94" t="s">
        <v>470</v>
      </c>
      <c r="J67" s="98">
        <f>IF(Table1[[#This Row],[CIV]]="⮽",0,1)*1.5</f>
        <v>0</v>
      </c>
      <c r="K67" s="98">
        <f>IF(Table1[[#This Row],[ARC]]="⮽",0,1)*3</f>
        <v>3</v>
      </c>
      <c r="L67" s="98">
        <f>IF(Table1[[#This Row],[STR]]="⮽",0,1)*2</f>
        <v>0</v>
      </c>
      <c r="M67" s="98">
        <f>IF(Table1[[#This Row],[MP]]="⮽",0,1)</f>
        <v>0</v>
      </c>
      <c r="N67" s="98">
        <f>IF(Table1[[#This Row],[ELE]]="⮽",0,1)</f>
        <v>0</v>
      </c>
      <c r="O67" s="98">
        <f>IF(Table1[[#This Row],[FP]]="⮽",0,1)</f>
        <v>0</v>
      </c>
      <c r="P67">
        <v>2</v>
      </c>
      <c r="Q67" t="s">
        <v>472</v>
      </c>
      <c r="R67" s="101">
        <f>IF(Table1[[#This Row],[Size (S, M, L)]]="S",2,IF(Table1[[#This Row],[Size (S, M, L)]]="L",1,4))</f>
        <v>2</v>
      </c>
      <c r="S67" t="s">
        <v>462</v>
      </c>
      <c r="T67" s="101">
        <f>IF(Table1[[#This Row],[TZone]]="EST",4,IF(Table1[[#This Row],[TZone]]="CST",3,IF(Table1[[#This Row],[TZone]]="MST",2,1)))</f>
        <v>4</v>
      </c>
      <c r="U67" t="s">
        <v>463</v>
      </c>
      <c r="V67" s="101">
        <f>IF(Table1[[#This Row],[Low-cost office?]]="Yes",-4,0)</f>
        <v>0</v>
      </c>
    </row>
    <row r="68" spans="1:22" x14ac:dyDescent="0.55000000000000004">
      <c r="A68" t="s">
        <v>515</v>
      </c>
      <c r="B6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68" t="s">
        <v>469</v>
      </c>
      <c r="D68" s="94" t="s">
        <v>470</v>
      </c>
      <c r="E68" s="94" t="s">
        <v>470</v>
      </c>
      <c r="F68" s="94" t="s">
        <v>470</v>
      </c>
      <c r="G68" s="95" t="s">
        <v>460</v>
      </c>
      <c r="H68" s="95" t="s">
        <v>460</v>
      </c>
      <c r="I68" s="95" t="s">
        <v>460</v>
      </c>
      <c r="J68" s="99">
        <f>IF(Table1[[#This Row],[CIV]]="⮽",0,1)*1.5</f>
        <v>0</v>
      </c>
      <c r="K68" s="99">
        <f>IF(Table1[[#This Row],[ARC]]="⮽",0,1)*3</f>
        <v>0</v>
      </c>
      <c r="L68" s="99">
        <f>IF(Table1[[#This Row],[STR]]="⮽",0,1)*2</f>
        <v>0</v>
      </c>
      <c r="M68" s="99">
        <f>IF(Table1[[#This Row],[MP]]="⮽",0,1)</f>
        <v>1</v>
      </c>
      <c r="N68" s="99">
        <f>IF(Table1[[#This Row],[ELE]]="⮽",0,1)</f>
        <v>1</v>
      </c>
      <c r="O68" s="99">
        <f>IF(Table1[[#This Row],[FP]]="⮽",0,1)</f>
        <v>1</v>
      </c>
      <c r="P68">
        <v>2</v>
      </c>
      <c r="Q68" t="s">
        <v>472</v>
      </c>
      <c r="R68" s="101">
        <f>IF(Table1[[#This Row],[Size (S, M, L)]]="S",2,IF(Table1[[#This Row],[Size (S, M, L)]]="L",1,4))</f>
        <v>2</v>
      </c>
      <c r="S68" t="s">
        <v>462</v>
      </c>
      <c r="T68" s="101">
        <f>IF(Table1[[#This Row],[TZone]]="EST",4,IF(Table1[[#This Row],[TZone]]="CST",3,IF(Table1[[#This Row],[TZone]]="MST",2,1)))</f>
        <v>4</v>
      </c>
      <c r="U68" t="s">
        <v>463</v>
      </c>
      <c r="V68" s="101">
        <f>IF(Table1[[#This Row],[Low-cost office?]]="Yes",-4,0)</f>
        <v>0</v>
      </c>
    </row>
    <row r="69" spans="1:22" x14ac:dyDescent="0.55000000000000004">
      <c r="A69" t="s">
        <v>516</v>
      </c>
      <c r="B6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69" t="s">
        <v>469</v>
      </c>
      <c r="D69" s="95" t="s">
        <v>470</v>
      </c>
      <c r="E69" s="95" t="s">
        <v>460</v>
      </c>
      <c r="F69" s="95" t="s">
        <v>470</v>
      </c>
      <c r="G69" s="95" t="s">
        <v>470</v>
      </c>
      <c r="H69" s="95" t="s">
        <v>470</v>
      </c>
      <c r="I69" s="95" t="s">
        <v>470</v>
      </c>
      <c r="J69" s="99">
        <f>IF(Table1[[#This Row],[CIV]]="⮽",0,1)*1.5</f>
        <v>0</v>
      </c>
      <c r="K69" s="99">
        <f>IF(Table1[[#This Row],[ARC]]="⮽",0,1)*3</f>
        <v>3</v>
      </c>
      <c r="L69" s="99">
        <f>IF(Table1[[#This Row],[STR]]="⮽",0,1)*2</f>
        <v>0</v>
      </c>
      <c r="M69" s="99">
        <f>IF(Table1[[#This Row],[MP]]="⮽",0,1)</f>
        <v>0</v>
      </c>
      <c r="N69" s="99">
        <f>IF(Table1[[#This Row],[ELE]]="⮽",0,1)</f>
        <v>0</v>
      </c>
      <c r="O69" s="99">
        <f>IF(Table1[[#This Row],[FP]]="⮽",0,1)</f>
        <v>0</v>
      </c>
      <c r="P69">
        <v>2</v>
      </c>
      <c r="Q69" t="s">
        <v>472</v>
      </c>
      <c r="R69" s="101">
        <f>IF(Table1[[#This Row],[Size (S, M, L)]]="S",2,IF(Table1[[#This Row],[Size (S, M, L)]]="L",1,4))</f>
        <v>2</v>
      </c>
      <c r="S69" t="s">
        <v>462</v>
      </c>
      <c r="T69" s="101">
        <f>IF(Table1[[#This Row],[TZone]]="EST",4,IF(Table1[[#This Row],[TZone]]="CST",3,IF(Table1[[#This Row],[TZone]]="MST",2,1)))</f>
        <v>4</v>
      </c>
      <c r="U69" t="s">
        <v>463</v>
      </c>
      <c r="V69" s="101">
        <f>IF(Table1[[#This Row],[Low-cost office?]]="Yes",-4,0)</f>
        <v>0</v>
      </c>
    </row>
    <row r="70" spans="1:22" x14ac:dyDescent="0.55000000000000004">
      <c r="A70" t="s">
        <v>517</v>
      </c>
      <c r="B7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70" t="s">
        <v>469</v>
      </c>
      <c r="D70" s="95" t="s">
        <v>470</v>
      </c>
      <c r="E70" s="94" t="s">
        <v>460</v>
      </c>
      <c r="F70" s="95" t="s">
        <v>470</v>
      </c>
      <c r="G70" s="95" t="s">
        <v>470</v>
      </c>
      <c r="H70" s="95" t="s">
        <v>470</v>
      </c>
      <c r="I70" s="95" t="s">
        <v>470</v>
      </c>
      <c r="J70" s="99">
        <f>IF(Table1[[#This Row],[CIV]]="⮽",0,1)*1.5</f>
        <v>0</v>
      </c>
      <c r="K70" s="99">
        <f>IF(Table1[[#This Row],[ARC]]="⮽",0,1)*3</f>
        <v>3</v>
      </c>
      <c r="L70" s="99">
        <f>IF(Table1[[#This Row],[STR]]="⮽",0,1)*2</f>
        <v>0</v>
      </c>
      <c r="M70" s="99">
        <f>IF(Table1[[#This Row],[MP]]="⮽",0,1)</f>
        <v>0</v>
      </c>
      <c r="N70" s="99">
        <f>IF(Table1[[#This Row],[ELE]]="⮽",0,1)</f>
        <v>0</v>
      </c>
      <c r="O70" s="99">
        <f>IF(Table1[[#This Row],[FP]]="⮽",0,1)</f>
        <v>0</v>
      </c>
      <c r="P70">
        <v>1</v>
      </c>
      <c r="Q70" t="s">
        <v>461</v>
      </c>
      <c r="R70" s="101">
        <f>IF(Table1[[#This Row],[Size (S, M, L)]]="S",2,IF(Table1[[#This Row],[Size (S, M, L)]]="L",1,4))</f>
        <v>4</v>
      </c>
      <c r="S70" t="s">
        <v>462</v>
      </c>
      <c r="T70" s="101">
        <f>IF(Table1[[#This Row],[TZone]]="EST",4,IF(Table1[[#This Row],[TZone]]="CST",3,IF(Table1[[#This Row],[TZone]]="MST",2,1)))</f>
        <v>4</v>
      </c>
      <c r="U70" t="s">
        <v>463</v>
      </c>
      <c r="V70" s="101">
        <f>IF(Table1[[#This Row],[Low-cost office?]]="Yes",-4,0)</f>
        <v>0</v>
      </c>
    </row>
    <row r="71" spans="1:22" x14ac:dyDescent="0.55000000000000004">
      <c r="A71" t="s">
        <v>518</v>
      </c>
      <c r="B7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12.5</v>
      </c>
      <c r="C71" t="s">
        <v>469</v>
      </c>
      <c r="D71" s="94" t="s">
        <v>460</v>
      </c>
      <c r="E71" s="95" t="s">
        <v>470</v>
      </c>
      <c r="F71" s="95" t="s">
        <v>470</v>
      </c>
      <c r="G71" s="95" t="s">
        <v>470</v>
      </c>
      <c r="H71" s="95" t="s">
        <v>470</v>
      </c>
      <c r="I71" s="95" t="s">
        <v>470</v>
      </c>
      <c r="J71" s="99">
        <f>IF(Table1[[#This Row],[CIV]]="⮽",0,1)*1.5</f>
        <v>1.5</v>
      </c>
      <c r="K71" s="99">
        <f>IF(Table1[[#This Row],[ARC]]="⮽",0,1)*3</f>
        <v>0</v>
      </c>
      <c r="L71" s="99">
        <f>IF(Table1[[#This Row],[STR]]="⮽",0,1)*2</f>
        <v>0</v>
      </c>
      <c r="M71" s="99">
        <f>IF(Table1[[#This Row],[MP]]="⮽",0,1)</f>
        <v>0</v>
      </c>
      <c r="N71" s="99">
        <f>IF(Table1[[#This Row],[ELE]]="⮽",0,1)</f>
        <v>0</v>
      </c>
      <c r="O71" s="99">
        <f>IF(Table1[[#This Row],[FP]]="⮽",0,1)</f>
        <v>0</v>
      </c>
      <c r="P71">
        <v>3</v>
      </c>
      <c r="Q71" t="s">
        <v>475</v>
      </c>
      <c r="R71" s="101">
        <f>IF(Table1[[#This Row],[Size (S, M, L)]]="S",2,IF(Table1[[#This Row],[Size (S, M, L)]]="L",1,4))</f>
        <v>1</v>
      </c>
      <c r="S71" t="s">
        <v>462</v>
      </c>
      <c r="T71" s="101">
        <f>IF(Table1[[#This Row],[TZone]]="EST",4,IF(Table1[[#This Row],[TZone]]="CST",3,IF(Table1[[#This Row],[TZone]]="MST",2,1)))</f>
        <v>4</v>
      </c>
      <c r="U71" t="s">
        <v>463</v>
      </c>
      <c r="V71" s="101">
        <f>IF(Table1[[#This Row],[Low-cost office?]]="Yes",-4,0)</f>
        <v>0</v>
      </c>
    </row>
    <row r="72" spans="1:22" x14ac:dyDescent="0.55000000000000004">
      <c r="A72" t="s">
        <v>519</v>
      </c>
      <c r="B7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12.5</v>
      </c>
      <c r="C72" t="s">
        <v>469</v>
      </c>
      <c r="D72" s="94" t="s">
        <v>460</v>
      </c>
      <c r="E72" s="95" t="s">
        <v>470</v>
      </c>
      <c r="F72" s="95" t="s">
        <v>470</v>
      </c>
      <c r="G72" s="95" t="s">
        <v>470</v>
      </c>
      <c r="H72" s="95" t="s">
        <v>470</v>
      </c>
      <c r="I72" s="95" t="s">
        <v>470</v>
      </c>
      <c r="J72" s="99">
        <f>IF(Table1[[#This Row],[CIV]]="⮽",0,1)*1.5</f>
        <v>1.5</v>
      </c>
      <c r="K72" s="99">
        <f>IF(Table1[[#This Row],[ARC]]="⮽",0,1)*3</f>
        <v>0</v>
      </c>
      <c r="L72" s="99">
        <f>IF(Table1[[#This Row],[STR]]="⮽",0,1)*2</f>
        <v>0</v>
      </c>
      <c r="M72" s="99">
        <f>IF(Table1[[#This Row],[MP]]="⮽",0,1)</f>
        <v>0</v>
      </c>
      <c r="N72" s="99">
        <f>IF(Table1[[#This Row],[ELE]]="⮽",0,1)</f>
        <v>0</v>
      </c>
      <c r="O72" s="99">
        <f>IF(Table1[[#This Row],[FP]]="⮽",0,1)</f>
        <v>0</v>
      </c>
      <c r="P72">
        <v>2</v>
      </c>
      <c r="Q72" t="s">
        <v>461</v>
      </c>
      <c r="R72" s="101">
        <f>IF(Table1[[#This Row],[Size (S, M, L)]]="S",2,IF(Table1[[#This Row],[Size (S, M, L)]]="L",1,4))</f>
        <v>4</v>
      </c>
      <c r="S72" t="s">
        <v>465</v>
      </c>
      <c r="T72" s="101">
        <f>IF(Table1[[#This Row],[TZone]]="EST",4,IF(Table1[[#This Row],[TZone]]="CST",3,IF(Table1[[#This Row],[TZone]]="MST",2,1)))</f>
        <v>3</v>
      </c>
      <c r="U72" t="s">
        <v>463</v>
      </c>
      <c r="V72" s="101">
        <f>IF(Table1[[#This Row],[Low-cost office?]]="Yes",-4,0)</f>
        <v>0</v>
      </c>
    </row>
    <row r="73" spans="1:22" x14ac:dyDescent="0.55000000000000004">
      <c r="A73" t="s">
        <v>520</v>
      </c>
      <c r="B7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12.5</v>
      </c>
      <c r="C73" t="s">
        <v>469</v>
      </c>
      <c r="D73" s="94" t="s">
        <v>460</v>
      </c>
      <c r="E73" s="95" t="s">
        <v>470</v>
      </c>
      <c r="F73" s="95" t="s">
        <v>470</v>
      </c>
      <c r="G73" s="95" t="s">
        <v>470</v>
      </c>
      <c r="H73" s="95" t="s">
        <v>470</v>
      </c>
      <c r="I73" s="95" t="s">
        <v>470</v>
      </c>
      <c r="J73" s="99">
        <f>IF(Table1[[#This Row],[CIV]]="⮽",0,1)*1.5</f>
        <v>1.5</v>
      </c>
      <c r="K73" s="99">
        <f>IF(Table1[[#This Row],[ARC]]="⮽",0,1)*3</f>
        <v>0</v>
      </c>
      <c r="L73" s="99">
        <f>IF(Table1[[#This Row],[STR]]="⮽",0,1)*2</f>
        <v>0</v>
      </c>
      <c r="M73" s="99">
        <f>IF(Table1[[#This Row],[MP]]="⮽",0,1)</f>
        <v>0</v>
      </c>
      <c r="N73" s="99">
        <f>IF(Table1[[#This Row],[ELE]]="⮽",0,1)</f>
        <v>0</v>
      </c>
      <c r="O73" s="99">
        <f>IF(Table1[[#This Row],[FP]]="⮽",0,1)</f>
        <v>0</v>
      </c>
      <c r="P73">
        <v>2</v>
      </c>
      <c r="Q73" t="s">
        <v>461</v>
      </c>
      <c r="R73" s="101">
        <f>IF(Table1[[#This Row],[Size (S, M, L)]]="S",2,IF(Table1[[#This Row],[Size (S, M, L)]]="L",1,4))</f>
        <v>4</v>
      </c>
      <c r="S73" t="s">
        <v>465</v>
      </c>
      <c r="T73" s="101">
        <f>IF(Table1[[#This Row],[TZone]]="EST",4,IF(Table1[[#This Row],[TZone]]="CST",3,IF(Table1[[#This Row],[TZone]]="MST",2,1)))</f>
        <v>3</v>
      </c>
      <c r="U73" t="s">
        <v>463</v>
      </c>
      <c r="V73" s="101">
        <f>IF(Table1[[#This Row],[Low-cost office?]]="Yes",-4,0)</f>
        <v>0</v>
      </c>
    </row>
    <row r="74" spans="1:22" x14ac:dyDescent="0.55000000000000004">
      <c r="A74" t="s">
        <v>521</v>
      </c>
      <c r="B7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12.5</v>
      </c>
      <c r="C74" t="s">
        <v>464</v>
      </c>
      <c r="D74" s="94" t="s">
        <v>460</v>
      </c>
      <c r="E74" s="95" t="s">
        <v>470</v>
      </c>
      <c r="F74" s="94" t="s">
        <v>460</v>
      </c>
      <c r="G74" s="95" t="s">
        <v>470</v>
      </c>
      <c r="H74" s="95" t="s">
        <v>470</v>
      </c>
      <c r="I74" s="95" t="s">
        <v>470</v>
      </c>
      <c r="J74" s="99">
        <f>IF(Table1[[#This Row],[CIV]]="⮽",0,1)*1.5</f>
        <v>1.5</v>
      </c>
      <c r="K74" s="99">
        <f>IF(Table1[[#This Row],[ARC]]="⮽",0,1)*3</f>
        <v>0</v>
      </c>
      <c r="L74" s="99">
        <f>IF(Table1[[#This Row],[STR]]="⮽",0,1)*2</f>
        <v>2</v>
      </c>
      <c r="M74" s="99">
        <f>IF(Table1[[#This Row],[MP]]="⮽",0,1)</f>
        <v>0</v>
      </c>
      <c r="N74" s="99">
        <f>IF(Table1[[#This Row],[ELE]]="⮽",0,1)</f>
        <v>0</v>
      </c>
      <c r="O74" s="99">
        <f>IF(Table1[[#This Row],[FP]]="⮽",0,1)</f>
        <v>0</v>
      </c>
      <c r="P74">
        <v>1</v>
      </c>
      <c r="Q74" t="s">
        <v>461</v>
      </c>
      <c r="R74" s="101">
        <f>IF(Table1[[#This Row],[Size (S, M, L)]]="S",2,IF(Table1[[#This Row],[Size (S, M, L)]]="L",1,4))</f>
        <v>4</v>
      </c>
      <c r="S74" t="s">
        <v>465</v>
      </c>
      <c r="T74" s="101">
        <f>IF(Table1[[#This Row],[TZone]]="EST",4,IF(Table1[[#This Row],[TZone]]="CST",3,IF(Table1[[#This Row],[TZone]]="MST",2,1)))</f>
        <v>3</v>
      </c>
      <c r="U74" t="s">
        <v>463</v>
      </c>
      <c r="V74" s="101">
        <f>IF(Table1[[#This Row],[Low-cost office?]]="Yes",-4,0)</f>
        <v>0</v>
      </c>
    </row>
    <row r="75" spans="1:22" x14ac:dyDescent="0.55000000000000004">
      <c r="A75" t="s">
        <v>134</v>
      </c>
      <c r="B7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75" t="s">
        <v>469</v>
      </c>
      <c r="D75" s="95" t="s">
        <v>470</v>
      </c>
      <c r="E75" s="95" t="s">
        <v>460</v>
      </c>
      <c r="F75" s="95" t="s">
        <v>470</v>
      </c>
      <c r="G75" s="95" t="s">
        <v>470</v>
      </c>
      <c r="H75" s="95" t="s">
        <v>470</v>
      </c>
      <c r="I75" s="95" t="s">
        <v>470</v>
      </c>
      <c r="J75" s="99">
        <f>IF(Table1[[#This Row],[CIV]]="⮽",0,1)*1.5</f>
        <v>0</v>
      </c>
      <c r="K75" s="99">
        <f>IF(Table1[[#This Row],[ARC]]="⮽",0,1)*3</f>
        <v>3</v>
      </c>
      <c r="L75" s="99">
        <f>IF(Table1[[#This Row],[STR]]="⮽",0,1)*2</f>
        <v>0</v>
      </c>
      <c r="M75" s="99">
        <f>IF(Table1[[#This Row],[MP]]="⮽",0,1)</f>
        <v>0</v>
      </c>
      <c r="N75" s="99">
        <f>IF(Table1[[#This Row],[ELE]]="⮽",0,1)</f>
        <v>0</v>
      </c>
      <c r="O75" s="99">
        <f>IF(Table1[[#This Row],[FP]]="⮽",0,1)</f>
        <v>0</v>
      </c>
      <c r="P75">
        <v>2</v>
      </c>
      <c r="Q75" t="s">
        <v>461</v>
      </c>
      <c r="R75" s="101">
        <f>IF(Table1[[#This Row],[Size (S, M, L)]]="S",2,IF(Table1[[#This Row],[Size (S, M, L)]]="L",1,4))</f>
        <v>4</v>
      </c>
      <c r="S75" t="s">
        <v>485</v>
      </c>
      <c r="T75" s="101">
        <f>IF(Table1[[#This Row],[TZone]]="EST",4,IF(Table1[[#This Row],[TZone]]="CST",3,IF(Table1[[#This Row],[TZone]]="MST",2,1)))</f>
        <v>1</v>
      </c>
      <c r="U75" t="s">
        <v>463</v>
      </c>
      <c r="V75" s="101">
        <f>IF(Table1[[#This Row],[Low-cost office?]]="Yes",-4,0)</f>
        <v>0</v>
      </c>
    </row>
    <row r="76" spans="1:22" x14ac:dyDescent="0.55000000000000004">
      <c r="A76" t="s">
        <v>522</v>
      </c>
      <c r="B7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76" t="s">
        <v>464</v>
      </c>
      <c r="D76" s="95" t="s">
        <v>470</v>
      </c>
      <c r="E76" s="95" t="s">
        <v>460</v>
      </c>
      <c r="F76" s="95" t="s">
        <v>460</v>
      </c>
      <c r="G76" s="95" t="s">
        <v>460</v>
      </c>
      <c r="H76" s="95" t="s">
        <v>460</v>
      </c>
      <c r="I76" s="95" t="s">
        <v>470</v>
      </c>
      <c r="J76" s="99">
        <f>IF(Table1[[#This Row],[CIV]]="⮽",0,1)*1.5</f>
        <v>0</v>
      </c>
      <c r="K76" s="99">
        <f>IF(Table1[[#This Row],[ARC]]="⮽",0,1)*3</f>
        <v>3</v>
      </c>
      <c r="L76" s="99">
        <f>IF(Table1[[#This Row],[STR]]="⮽",0,1)*2</f>
        <v>2</v>
      </c>
      <c r="M76" s="99">
        <f>IF(Table1[[#This Row],[MP]]="⮽",0,1)</f>
        <v>1</v>
      </c>
      <c r="N76" s="99">
        <f>IF(Table1[[#This Row],[ELE]]="⮽",0,1)</f>
        <v>1</v>
      </c>
      <c r="O76" s="99">
        <f>IF(Table1[[#This Row],[FP]]="⮽",0,1)</f>
        <v>0</v>
      </c>
      <c r="P76">
        <v>1</v>
      </c>
      <c r="Q76" t="s">
        <v>461</v>
      </c>
      <c r="R76" s="101">
        <f>IF(Table1[[#This Row],[Size (S, M, L)]]="S",2,IF(Table1[[#This Row],[Size (S, M, L)]]="L",1,4))</f>
        <v>4</v>
      </c>
      <c r="S76" t="s">
        <v>465</v>
      </c>
      <c r="T76" s="101">
        <f>IF(Table1[[#This Row],[TZone]]="EST",4,IF(Table1[[#This Row],[TZone]]="CST",3,IF(Table1[[#This Row],[TZone]]="MST",2,1)))</f>
        <v>3</v>
      </c>
      <c r="U76" t="s">
        <v>479</v>
      </c>
      <c r="V76" s="101">
        <f>IF(Table1[[#This Row],[Low-cost office?]]="Yes",-4,0)</f>
        <v>-4</v>
      </c>
    </row>
    <row r="77" spans="1:22" x14ac:dyDescent="0.55000000000000004">
      <c r="A77" t="s">
        <v>299</v>
      </c>
      <c r="B7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77" t="s">
        <v>464</v>
      </c>
      <c r="D77" s="95" t="s">
        <v>470</v>
      </c>
      <c r="E77" s="95" t="s">
        <v>460</v>
      </c>
      <c r="F77" s="95" t="s">
        <v>470</v>
      </c>
      <c r="G77" s="95" t="s">
        <v>470</v>
      </c>
      <c r="H77" s="95" t="s">
        <v>470</v>
      </c>
      <c r="I77" s="95" t="s">
        <v>470</v>
      </c>
      <c r="J77" s="99">
        <f>IF(Table1[[#This Row],[CIV]]="⮽",0,1)*1.5</f>
        <v>0</v>
      </c>
      <c r="K77" s="99">
        <f>IF(Table1[[#This Row],[ARC]]="⮽",0,1)*3</f>
        <v>3</v>
      </c>
      <c r="L77" s="99">
        <f>IF(Table1[[#This Row],[STR]]="⮽",0,1)*2</f>
        <v>0</v>
      </c>
      <c r="M77" s="99">
        <f>IF(Table1[[#This Row],[MP]]="⮽",0,1)</f>
        <v>0</v>
      </c>
      <c r="N77" s="99">
        <f>IF(Table1[[#This Row],[ELE]]="⮽",0,1)</f>
        <v>0</v>
      </c>
      <c r="O77" s="99">
        <f>IF(Table1[[#This Row],[FP]]="⮽",0,1)</f>
        <v>0</v>
      </c>
      <c r="P77">
        <v>2</v>
      </c>
      <c r="Q77" t="s">
        <v>472</v>
      </c>
      <c r="R77" s="101">
        <f>IF(Table1[[#This Row],[Size (S, M, L)]]="S",2,IF(Table1[[#This Row],[Size (S, M, L)]]="L",1,4))</f>
        <v>2</v>
      </c>
      <c r="S77" t="s">
        <v>465</v>
      </c>
      <c r="T77" s="101">
        <f>IF(Table1[[#This Row],[TZone]]="EST",4,IF(Table1[[#This Row],[TZone]]="CST",3,IF(Table1[[#This Row],[TZone]]="MST",2,1)))</f>
        <v>3</v>
      </c>
      <c r="U77" t="s">
        <v>463</v>
      </c>
      <c r="V77" s="101">
        <f>IF(Table1[[#This Row],[Low-cost office?]]="Yes",-4,0)</f>
        <v>0</v>
      </c>
    </row>
    <row r="78" spans="1:22" x14ac:dyDescent="0.55000000000000004">
      <c r="A78" t="s">
        <v>307</v>
      </c>
      <c r="B7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78" t="s">
        <v>469</v>
      </c>
      <c r="D78" s="95" t="s">
        <v>470</v>
      </c>
      <c r="E78" s="95" t="s">
        <v>460</v>
      </c>
      <c r="F78" s="95" t="s">
        <v>470</v>
      </c>
      <c r="G78" s="95" t="s">
        <v>470</v>
      </c>
      <c r="H78" s="95" t="s">
        <v>470</v>
      </c>
      <c r="I78" s="95" t="s">
        <v>470</v>
      </c>
      <c r="J78" s="99">
        <f>IF(Table1[[#This Row],[CIV]]="⮽",0,1)*1.5</f>
        <v>0</v>
      </c>
      <c r="K78" s="99">
        <f>IF(Table1[[#This Row],[ARC]]="⮽",0,1)*3</f>
        <v>3</v>
      </c>
      <c r="L78" s="99">
        <f>IF(Table1[[#This Row],[STR]]="⮽",0,1)*2</f>
        <v>0</v>
      </c>
      <c r="M78" s="99">
        <f>IF(Table1[[#This Row],[MP]]="⮽",0,1)</f>
        <v>0</v>
      </c>
      <c r="N78" s="99">
        <f>IF(Table1[[#This Row],[ELE]]="⮽",0,1)</f>
        <v>0</v>
      </c>
      <c r="O78" s="99">
        <f>IF(Table1[[#This Row],[FP]]="⮽",0,1)</f>
        <v>0</v>
      </c>
      <c r="P78">
        <v>2</v>
      </c>
      <c r="Q78" t="s">
        <v>472</v>
      </c>
      <c r="R78" s="101">
        <f>IF(Table1[[#This Row],[Size (S, M, L)]]="S",2,IF(Table1[[#This Row],[Size (S, M, L)]]="L",1,4))</f>
        <v>2</v>
      </c>
      <c r="S78" t="s">
        <v>465</v>
      </c>
      <c r="T78" s="101">
        <f>IF(Table1[[#This Row],[TZone]]="EST",4,IF(Table1[[#This Row],[TZone]]="CST",3,IF(Table1[[#This Row],[TZone]]="MST",2,1)))</f>
        <v>3</v>
      </c>
      <c r="U78" t="s">
        <v>463</v>
      </c>
      <c r="V78" s="101">
        <f>IF(Table1[[#This Row],[Low-cost office?]]="Yes",-4,0)</f>
        <v>0</v>
      </c>
    </row>
    <row r="79" spans="1:22" x14ac:dyDescent="0.55000000000000004">
      <c r="A79" t="s">
        <v>523</v>
      </c>
      <c r="B7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79" t="s">
        <v>469</v>
      </c>
      <c r="D79" s="94" t="s">
        <v>470</v>
      </c>
      <c r="E79" s="95" t="s">
        <v>460</v>
      </c>
      <c r="F79" s="94" t="s">
        <v>470</v>
      </c>
      <c r="G79" s="94" t="s">
        <v>470</v>
      </c>
      <c r="H79" s="94" t="s">
        <v>470</v>
      </c>
      <c r="I79" s="94" t="s">
        <v>470</v>
      </c>
      <c r="J79" s="98">
        <f>IF(Table1[[#This Row],[CIV]]="⮽",0,1)*1.5</f>
        <v>0</v>
      </c>
      <c r="K79" s="98">
        <f>IF(Table1[[#This Row],[ARC]]="⮽",0,1)*3</f>
        <v>3</v>
      </c>
      <c r="L79" s="98">
        <f>IF(Table1[[#This Row],[STR]]="⮽",0,1)*2</f>
        <v>0</v>
      </c>
      <c r="M79" s="98">
        <f>IF(Table1[[#This Row],[MP]]="⮽",0,1)</f>
        <v>0</v>
      </c>
      <c r="N79" s="98">
        <f>IF(Table1[[#This Row],[ELE]]="⮽",0,1)</f>
        <v>0</v>
      </c>
      <c r="O79" s="98">
        <f>IF(Table1[[#This Row],[FP]]="⮽",0,1)</f>
        <v>0</v>
      </c>
      <c r="P79">
        <v>2</v>
      </c>
      <c r="Q79" t="s">
        <v>472</v>
      </c>
      <c r="R79" s="101">
        <f>IF(Table1[[#This Row],[Size (S, M, L)]]="S",2,IF(Table1[[#This Row],[Size (S, M, L)]]="L",1,4))</f>
        <v>2</v>
      </c>
      <c r="S79" t="s">
        <v>465</v>
      </c>
      <c r="T79" s="101">
        <f>IF(Table1[[#This Row],[TZone]]="EST",4,IF(Table1[[#This Row],[TZone]]="CST",3,IF(Table1[[#This Row],[TZone]]="MST",2,1)))</f>
        <v>3</v>
      </c>
      <c r="U79" t="s">
        <v>463</v>
      </c>
      <c r="V79" s="101">
        <f>IF(Table1[[#This Row],[Low-cost office?]]="Yes",-4,0)</f>
        <v>0</v>
      </c>
    </row>
    <row r="80" spans="1:22" x14ac:dyDescent="0.55000000000000004">
      <c r="A80" t="s">
        <v>524</v>
      </c>
      <c r="B8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0" t="s">
        <v>469</v>
      </c>
      <c r="D80" s="95" t="s">
        <v>470</v>
      </c>
      <c r="E80" s="94" t="s">
        <v>460</v>
      </c>
      <c r="F80" s="95" t="s">
        <v>470</v>
      </c>
      <c r="G80" s="95" t="s">
        <v>470</v>
      </c>
      <c r="H80" s="95" t="s">
        <v>470</v>
      </c>
      <c r="I80" s="95" t="s">
        <v>470</v>
      </c>
      <c r="J80" s="99">
        <f>IF(Table1[[#This Row],[CIV]]="⮽",0,1)*1.5</f>
        <v>0</v>
      </c>
      <c r="K80" s="99">
        <f>IF(Table1[[#This Row],[ARC]]="⮽",0,1)*3</f>
        <v>3</v>
      </c>
      <c r="L80" s="99">
        <f>IF(Table1[[#This Row],[STR]]="⮽",0,1)*2</f>
        <v>0</v>
      </c>
      <c r="M80" s="99">
        <f>IF(Table1[[#This Row],[MP]]="⮽",0,1)</f>
        <v>0</v>
      </c>
      <c r="N80" s="99">
        <f>IF(Table1[[#This Row],[ELE]]="⮽",0,1)</f>
        <v>0</v>
      </c>
      <c r="O80" s="99">
        <f>IF(Table1[[#This Row],[FP]]="⮽",0,1)</f>
        <v>0</v>
      </c>
      <c r="P80">
        <v>2</v>
      </c>
      <c r="Q80" t="s">
        <v>472</v>
      </c>
      <c r="R80" s="101">
        <f>IF(Table1[[#This Row],[Size (S, M, L)]]="S",2,IF(Table1[[#This Row],[Size (S, M, L)]]="L",1,4))</f>
        <v>2</v>
      </c>
      <c r="S80" t="s">
        <v>465</v>
      </c>
      <c r="T80" s="101">
        <f>IF(Table1[[#This Row],[TZone]]="EST",4,IF(Table1[[#This Row],[TZone]]="CST",3,IF(Table1[[#This Row],[TZone]]="MST",2,1)))</f>
        <v>3</v>
      </c>
      <c r="U80" t="s">
        <v>463</v>
      </c>
      <c r="V80" s="101">
        <f>IF(Table1[[#This Row],[Low-cost office?]]="Yes",-4,0)</f>
        <v>0</v>
      </c>
    </row>
    <row r="81" spans="1:22" x14ac:dyDescent="0.55000000000000004">
      <c r="A81" t="s">
        <v>525</v>
      </c>
      <c r="B8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1" t="s">
        <v>469</v>
      </c>
      <c r="D81" s="95" t="s">
        <v>470</v>
      </c>
      <c r="E81" s="94" t="s">
        <v>460</v>
      </c>
      <c r="F81" s="95" t="s">
        <v>470</v>
      </c>
      <c r="G81" s="95" t="s">
        <v>470</v>
      </c>
      <c r="H81" s="95" t="s">
        <v>470</v>
      </c>
      <c r="I81" s="95" t="s">
        <v>470</v>
      </c>
      <c r="J81" s="99">
        <f>IF(Table1[[#This Row],[CIV]]="⮽",0,1)*1.5</f>
        <v>0</v>
      </c>
      <c r="K81" s="99">
        <f>IF(Table1[[#This Row],[ARC]]="⮽",0,1)*3</f>
        <v>3</v>
      </c>
      <c r="L81" s="99">
        <f>IF(Table1[[#This Row],[STR]]="⮽",0,1)*2</f>
        <v>0</v>
      </c>
      <c r="M81" s="99">
        <f>IF(Table1[[#This Row],[MP]]="⮽",0,1)</f>
        <v>0</v>
      </c>
      <c r="N81" s="99">
        <f>IF(Table1[[#This Row],[ELE]]="⮽",0,1)</f>
        <v>0</v>
      </c>
      <c r="O81" s="99">
        <f>IF(Table1[[#This Row],[FP]]="⮽",0,1)</f>
        <v>0</v>
      </c>
      <c r="P81">
        <v>2</v>
      </c>
      <c r="Q81" t="s">
        <v>472</v>
      </c>
      <c r="R81" s="101">
        <f>IF(Table1[[#This Row],[Size (S, M, L)]]="S",2,IF(Table1[[#This Row],[Size (S, M, L)]]="L",1,4))</f>
        <v>2</v>
      </c>
      <c r="S81" t="s">
        <v>465</v>
      </c>
      <c r="T81" s="101">
        <f>IF(Table1[[#This Row],[TZone]]="EST",4,IF(Table1[[#This Row],[TZone]]="CST",3,IF(Table1[[#This Row],[TZone]]="MST",2,1)))</f>
        <v>3</v>
      </c>
      <c r="U81" t="s">
        <v>463</v>
      </c>
      <c r="V81" s="101">
        <f>IF(Table1[[#This Row],[Low-cost office?]]="Yes",-4,0)</f>
        <v>0</v>
      </c>
    </row>
    <row r="82" spans="1:22" x14ac:dyDescent="0.55000000000000004">
      <c r="A82" t="s">
        <v>83</v>
      </c>
      <c r="B8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2" t="s">
        <v>469</v>
      </c>
      <c r="D82" s="95" t="s">
        <v>470</v>
      </c>
      <c r="E82" s="94" t="s">
        <v>460</v>
      </c>
      <c r="F82" s="95" t="s">
        <v>470</v>
      </c>
      <c r="G82" s="95" t="s">
        <v>470</v>
      </c>
      <c r="H82" s="95" t="s">
        <v>470</v>
      </c>
      <c r="I82" s="95" t="s">
        <v>470</v>
      </c>
      <c r="J82" s="99">
        <f>IF(Table1[[#This Row],[CIV]]="⮽",0,1)*1.5</f>
        <v>0</v>
      </c>
      <c r="K82" s="99">
        <f>IF(Table1[[#This Row],[ARC]]="⮽",0,1)*3</f>
        <v>3</v>
      </c>
      <c r="L82" s="99">
        <f>IF(Table1[[#This Row],[STR]]="⮽",0,1)*2</f>
        <v>0</v>
      </c>
      <c r="M82" s="99">
        <f>IF(Table1[[#This Row],[MP]]="⮽",0,1)</f>
        <v>0</v>
      </c>
      <c r="N82" s="99">
        <f>IF(Table1[[#This Row],[ELE]]="⮽",0,1)</f>
        <v>0</v>
      </c>
      <c r="O82" s="99">
        <f>IF(Table1[[#This Row],[FP]]="⮽",0,1)</f>
        <v>0</v>
      </c>
      <c r="P82">
        <v>2</v>
      </c>
      <c r="Q82" t="s">
        <v>461</v>
      </c>
      <c r="R82" s="101">
        <f>IF(Table1[[#This Row],[Size (S, M, L)]]="S",2,IF(Table1[[#This Row],[Size (S, M, L)]]="L",1,4))</f>
        <v>4</v>
      </c>
      <c r="S82" t="s">
        <v>485</v>
      </c>
      <c r="T82" s="101">
        <f>IF(Table1[[#This Row],[TZone]]="EST",4,IF(Table1[[#This Row],[TZone]]="CST",3,IF(Table1[[#This Row],[TZone]]="MST",2,1)))</f>
        <v>1</v>
      </c>
      <c r="U82" t="s">
        <v>463</v>
      </c>
      <c r="V82" s="101">
        <f>IF(Table1[[#This Row],[Low-cost office?]]="Yes",-4,0)</f>
        <v>0</v>
      </c>
    </row>
    <row r="83" spans="1:22" x14ac:dyDescent="0.55000000000000004">
      <c r="A83" t="s">
        <v>526</v>
      </c>
      <c r="B8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3" t="s">
        <v>469</v>
      </c>
      <c r="D83" s="95" t="s">
        <v>470</v>
      </c>
      <c r="E83" s="94" t="s">
        <v>460</v>
      </c>
      <c r="F83" s="95" t="s">
        <v>470</v>
      </c>
      <c r="G83" s="95" t="s">
        <v>470</v>
      </c>
      <c r="H83" s="95" t="s">
        <v>470</v>
      </c>
      <c r="I83" s="95" t="s">
        <v>470</v>
      </c>
      <c r="J83" s="99">
        <f>IF(Table1[[#This Row],[CIV]]="⮽",0,1)*1.5</f>
        <v>0</v>
      </c>
      <c r="K83" s="99">
        <f>IF(Table1[[#This Row],[ARC]]="⮽",0,1)*3</f>
        <v>3</v>
      </c>
      <c r="L83" s="99">
        <f>IF(Table1[[#This Row],[STR]]="⮽",0,1)*2</f>
        <v>0</v>
      </c>
      <c r="M83" s="99">
        <f>IF(Table1[[#This Row],[MP]]="⮽",0,1)</f>
        <v>0</v>
      </c>
      <c r="N83" s="99">
        <f>IF(Table1[[#This Row],[ELE]]="⮽",0,1)</f>
        <v>0</v>
      </c>
      <c r="O83" s="99">
        <f>IF(Table1[[#This Row],[FP]]="⮽",0,1)</f>
        <v>0</v>
      </c>
      <c r="P83">
        <v>2</v>
      </c>
      <c r="Q83" t="s">
        <v>472</v>
      </c>
      <c r="R83" s="101">
        <f>IF(Table1[[#This Row],[Size (S, M, L)]]="S",2,IF(Table1[[#This Row],[Size (S, M, L)]]="L",1,4))</f>
        <v>2</v>
      </c>
      <c r="S83" t="s">
        <v>465</v>
      </c>
      <c r="T83" s="101">
        <f>IF(Table1[[#This Row],[TZone]]="EST",4,IF(Table1[[#This Row],[TZone]]="CST",3,IF(Table1[[#This Row],[TZone]]="MST",2,1)))</f>
        <v>3</v>
      </c>
      <c r="U83" t="s">
        <v>463</v>
      </c>
      <c r="V83" s="101">
        <f>IF(Table1[[#This Row],[Low-cost office?]]="Yes",-4,0)</f>
        <v>0</v>
      </c>
    </row>
    <row r="84" spans="1:22" x14ac:dyDescent="0.55000000000000004">
      <c r="A84" t="s">
        <v>527</v>
      </c>
      <c r="B8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4" t="s">
        <v>469</v>
      </c>
      <c r="D84" s="95" t="s">
        <v>470</v>
      </c>
      <c r="E84" s="94" t="s">
        <v>460</v>
      </c>
      <c r="F84" s="95" t="s">
        <v>470</v>
      </c>
      <c r="G84" s="95" t="s">
        <v>470</v>
      </c>
      <c r="H84" s="95" t="s">
        <v>470</v>
      </c>
      <c r="I84" s="95" t="s">
        <v>470</v>
      </c>
      <c r="J84" s="99">
        <f>IF(Table1[[#This Row],[CIV]]="⮽",0,1)*1.5</f>
        <v>0</v>
      </c>
      <c r="K84" s="99">
        <f>IF(Table1[[#This Row],[ARC]]="⮽",0,1)*3</f>
        <v>3</v>
      </c>
      <c r="L84" s="99">
        <f>IF(Table1[[#This Row],[STR]]="⮽",0,1)*2</f>
        <v>0</v>
      </c>
      <c r="M84" s="99">
        <f>IF(Table1[[#This Row],[MP]]="⮽",0,1)</f>
        <v>0</v>
      </c>
      <c r="N84" s="99">
        <f>IF(Table1[[#This Row],[ELE]]="⮽",0,1)</f>
        <v>0</v>
      </c>
      <c r="O84" s="99">
        <f>IF(Table1[[#This Row],[FP]]="⮽",0,1)</f>
        <v>0</v>
      </c>
      <c r="P84">
        <v>2</v>
      </c>
      <c r="Q84" t="s">
        <v>472</v>
      </c>
      <c r="R84" s="101">
        <f>IF(Table1[[#This Row],[Size (S, M, L)]]="S",2,IF(Table1[[#This Row],[Size (S, M, L)]]="L",1,4))</f>
        <v>2</v>
      </c>
      <c r="S84" t="s">
        <v>465</v>
      </c>
      <c r="T84" s="101">
        <f>IF(Table1[[#This Row],[TZone]]="EST",4,IF(Table1[[#This Row],[TZone]]="CST",3,IF(Table1[[#This Row],[TZone]]="MST",2,1)))</f>
        <v>3</v>
      </c>
      <c r="U84" t="s">
        <v>463</v>
      </c>
      <c r="V84" s="101">
        <f>IF(Table1[[#This Row],[Low-cost office?]]="Yes",-4,0)</f>
        <v>0</v>
      </c>
    </row>
    <row r="85" spans="1:22" x14ac:dyDescent="0.55000000000000004">
      <c r="A85" t="s">
        <v>231</v>
      </c>
      <c r="B8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5" t="s">
        <v>464</v>
      </c>
      <c r="D85" s="95" t="s">
        <v>470</v>
      </c>
      <c r="E85" s="94" t="s">
        <v>460</v>
      </c>
      <c r="F85" s="95" t="s">
        <v>470</v>
      </c>
      <c r="G85" s="95" t="s">
        <v>470</v>
      </c>
      <c r="H85" s="95" t="s">
        <v>470</v>
      </c>
      <c r="I85" s="95" t="s">
        <v>470</v>
      </c>
      <c r="J85" s="99">
        <f>IF(Table1[[#This Row],[CIV]]="⮽",0,1)*1.5</f>
        <v>0</v>
      </c>
      <c r="K85" s="99">
        <f>IF(Table1[[#This Row],[ARC]]="⮽",0,1)*3</f>
        <v>3</v>
      </c>
      <c r="L85" s="99">
        <f>IF(Table1[[#This Row],[STR]]="⮽",0,1)*2</f>
        <v>0</v>
      </c>
      <c r="M85" s="99">
        <f>IF(Table1[[#This Row],[MP]]="⮽",0,1)</f>
        <v>0</v>
      </c>
      <c r="N85" s="99">
        <f>IF(Table1[[#This Row],[ELE]]="⮽",0,1)</f>
        <v>0</v>
      </c>
      <c r="O85" s="99">
        <f>IF(Table1[[#This Row],[FP]]="⮽",0,1)</f>
        <v>0</v>
      </c>
      <c r="P85">
        <v>1</v>
      </c>
      <c r="Q85" t="s">
        <v>461</v>
      </c>
      <c r="R85" s="101">
        <f>IF(Table1[[#This Row],[Size (S, M, L)]]="S",2,IF(Table1[[#This Row],[Size (S, M, L)]]="L",1,4))</f>
        <v>4</v>
      </c>
      <c r="S85" t="s">
        <v>465</v>
      </c>
      <c r="T85" s="101">
        <f>IF(Table1[[#This Row],[TZone]]="EST",4,IF(Table1[[#This Row],[TZone]]="CST",3,IF(Table1[[#This Row],[TZone]]="MST",2,1)))</f>
        <v>3</v>
      </c>
      <c r="U85" t="s">
        <v>463</v>
      </c>
      <c r="V85" s="101">
        <f>IF(Table1[[#This Row],[Low-cost office?]]="Yes",-4,0)</f>
        <v>0</v>
      </c>
    </row>
    <row r="86" spans="1:22" x14ac:dyDescent="0.55000000000000004">
      <c r="A86" t="s">
        <v>528</v>
      </c>
      <c r="B8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6" t="s">
        <v>469</v>
      </c>
      <c r="D86" s="95" t="s">
        <v>470</v>
      </c>
      <c r="E86" s="94" t="s">
        <v>460</v>
      </c>
      <c r="F86" s="95" t="s">
        <v>470</v>
      </c>
      <c r="G86" s="95" t="s">
        <v>470</v>
      </c>
      <c r="H86" s="95" t="s">
        <v>470</v>
      </c>
      <c r="I86" s="95" t="s">
        <v>470</v>
      </c>
      <c r="J86" s="99">
        <f>IF(Table1[[#This Row],[CIV]]="⮽",0,1)*1.5</f>
        <v>0</v>
      </c>
      <c r="K86" s="99">
        <f>IF(Table1[[#This Row],[ARC]]="⮽",0,1)*3</f>
        <v>3</v>
      </c>
      <c r="L86" s="99">
        <f>IF(Table1[[#This Row],[STR]]="⮽",0,1)*2</f>
        <v>0</v>
      </c>
      <c r="M86" s="99">
        <f>IF(Table1[[#This Row],[MP]]="⮽",0,1)</f>
        <v>0</v>
      </c>
      <c r="N86" s="99">
        <f>IF(Table1[[#This Row],[ELE]]="⮽",0,1)</f>
        <v>0</v>
      </c>
      <c r="O86" s="99">
        <f>IF(Table1[[#This Row],[FP]]="⮽",0,1)</f>
        <v>0</v>
      </c>
      <c r="P86">
        <v>3</v>
      </c>
      <c r="Q86" t="s">
        <v>472</v>
      </c>
      <c r="R86" s="101">
        <f>IF(Table1[[#This Row],[Size (S, M, L)]]="S",2,IF(Table1[[#This Row],[Size (S, M, L)]]="L",1,4))</f>
        <v>2</v>
      </c>
      <c r="S86" t="s">
        <v>485</v>
      </c>
      <c r="T86" s="101">
        <f>IF(Table1[[#This Row],[TZone]]="EST",4,IF(Table1[[#This Row],[TZone]]="CST",3,IF(Table1[[#This Row],[TZone]]="MST",2,1)))</f>
        <v>1</v>
      </c>
      <c r="U86" t="s">
        <v>463</v>
      </c>
      <c r="V86" s="101">
        <f>IF(Table1[[#This Row],[Low-cost office?]]="Yes",-4,0)</f>
        <v>0</v>
      </c>
    </row>
    <row r="87" spans="1:22" x14ac:dyDescent="0.55000000000000004">
      <c r="A87" t="s">
        <v>529</v>
      </c>
      <c r="B8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7" t="s">
        <v>469</v>
      </c>
      <c r="D87" s="95" t="s">
        <v>470</v>
      </c>
      <c r="E87" s="94" t="s">
        <v>460</v>
      </c>
      <c r="F87" s="95" t="s">
        <v>470</v>
      </c>
      <c r="G87" s="95" t="s">
        <v>470</v>
      </c>
      <c r="H87" s="95" t="s">
        <v>470</v>
      </c>
      <c r="I87" s="95" t="s">
        <v>470</v>
      </c>
      <c r="J87" s="99">
        <f>IF(Table1[[#This Row],[CIV]]="⮽",0,1)*1.5</f>
        <v>0</v>
      </c>
      <c r="K87" s="99">
        <f>IF(Table1[[#This Row],[ARC]]="⮽",0,1)*3</f>
        <v>3</v>
      </c>
      <c r="L87" s="99">
        <f>IF(Table1[[#This Row],[STR]]="⮽",0,1)*2</f>
        <v>0</v>
      </c>
      <c r="M87" s="99">
        <f>IF(Table1[[#This Row],[MP]]="⮽",0,1)</f>
        <v>0</v>
      </c>
      <c r="N87" s="99">
        <f>IF(Table1[[#This Row],[ELE]]="⮽",0,1)</f>
        <v>0</v>
      </c>
      <c r="O87" s="99">
        <f>IF(Table1[[#This Row],[FP]]="⮽",0,1)</f>
        <v>0</v>
      </c>
      <c r="P87">
        <v>2</v>
      </c>
      <c r="Q87" t="s">
        <v>472</v>
      </c>
      <c r="R87" s="101">
        <f>IF(Table1[[#This Row],[Size (S, M, L)]]="S",2,IF(Table1[[#This Row],[Size (S, M, L)]]="L",1,4))</f>
        <v>2</v>
      </c>
      <c r="S87" t="s">
        <v>465</v>
      </c>
      <c r="T87" s="101">
        <f>IF(Table1[[#This Row],[TZone]]="EST",4,IF(Table1[[#This Row],[TZone]]="CST",3,IF(Table1[[#This Row],[TZone]]="MST",2,1)))</f>
        <v>3</v>
      </c>
      <c r="U87" t="s">
        <v>463</v>
      </c>
      <c r="V87" s="101">
        <f>IF(Table1[[#This Row],[Low-cost office?]]="Yes",-4,0)</f>
        <v>0</v>
      </c>
    </row>
    <row r="88" spans="1:22" x14ac:dyDescent="0.55000000000000004">
      <c r="A88" t="s">
        <v>530</v>
      </c>
      <c r="B8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8" t="s">
        <v>464</v>
      </c>
      <c r="D88" s="95" t="s">
        <v>470</v>
      </c>
      <c r="E88" s="94" t="s">
        <v>460</v>
      </c>
      <c r="F88" s="95" t="s">
        <v>470</v>
      </c>
      <c r="G88" s="95" t="s">
        <v>470</v>
      </c>
      <c r="H88" s="95" t="s">
        <v>470</v>
      </c>
      <c r="I88" s="95" t="s">
        <v>470</v>
      </c>
      <c r="J88" s="99">
        <f>IF(Table1[[#This Row],[CIV]]="⮽",0,1)*1.5</f>
        <v>0</v>
      </c>
      <c r="K88" s="99">
        <f>IF(Table1[[#This Row],[ARC]]="⮽",0,1)*3</f>
        <v>3</v>
      </c>
      <c r="L88" s="99">
        <f>IF(Table1[[#This Row],[STR]]="⮽",0,1)*2</f>
        <v>0</v>
      </c>
      <c r="M88" s="99">
        <f>IF(Table1[[#This Row],[MP]]="⮽",0,1)</f>
        <v>0</v>
      </c>
      <c r="N88" s="99">
        <f>IF(Table1[[#This Row],[ELE]]="⮽",0,1)</f>
        <v>0</v>
      </c>
      <c r="O88" s="99">
        <f>IF(Table1[[#This Row],[FP]]="⮽",0,1)</f>
        <v>0</v>
      </c>
      <c r="P88">
        <v>3</v>
      </c>
      <c r="Q88" t="s">
        <v>461</v>
      </c>
      <c r="R88" s="101">
        <f>IF(Table1[[#This Row],[Size (S, M, L)]]="S",2,IF(Table1[[#This Row],[Size (S, M, L)]]="L",1,4))</f>
        <v>4</v>
      </c>
      <c r="S88" t="s">
        <v>465</v>
      </c>
      <c r="T88" s="101">
        <f>IF(Table1[[#This Row],[TZone]]="EST",4,IF(Table1[[#This Row],[TZone]]="CST",3,IF(Table1[[#This Row],[TZone]]="MST",2,1)))</f>
        <v>3</v>
      </c>
      <c r="U88" t="s">
        <v>479</v>
      </c>
      <c r="V88" s="101">
        <f>IF(Table1[[#This Row],[Low-cost office?]]="Yes",-4,0)</f>
        <v>-4</v>
      </c>
    </row>
    <row r="89" spans="1:22" x14ac:dyDescent="0.55000000000000004">
      <c r="A89" t="s">
        <v>531</v>
      </c>
      <c r="B8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9" t="s">
        <v>469</v>
      </c>
      <c r="D89" s="95" t="s">
        <v>470</v>
      </c>
      <c r="E89" s="95" t="s">
        <v>470</v>
      </c>
      <c r="F89" s="95" t="s">
        <v>470</v>
      </c>
      <c r="G89" s="94" t="s">
        <v>460</v>
      </c>
      <c r="H89" s="94" t="s">
        <v>460</v>
      </c>
      <c r="I89" s="94" t="s">
        <v>460</v>
      </c>
      <c r="J89" s="98">
        <f>IF(Table1[[#This Row],[CIV]]="⮽",0,1)*1.5</f>
        <v>0</v>
      </c>
      <c r="K89" s="98">
        <f>IF(Table1[[#This Row],[ARC]]="⮽",0,1)*3</f>
        <v>0</v>
      </c>
      <c r="L89" s="98">
        <f>IF(Table1[[#This Row],[STR]]="⮽",0,1)*2</f>
        <v>0</v>
      </c>
      <c r="M89" s="98">
        <f>IF(Table1[[#This Row],[MP]]="⮽",0,1)</f>
        <v>1</v>
      </c>
      <c r="N89" s="98">
        <f>IF(Table1[[#This Row],[ELE]]="⮽",0,1)</f>
        <v>1</v>
      </c>
      <c r="O89" s="98">
        <f>IF(Table1[[#This Row],[FP]]="⮽",0,1)</f>
        <v>1</v>
      </c>
      <c r="P89">
        <v>2</v>
      </c>
      <c r="Q89" t="s">
        <v>472</v>
      </c>
      <c r="R89" s="101">
        <f>IF(Table1[[#This Row],[Size (S, M, L)]]="S",2,IF(Table1[[#This Row],[Size (S, M, L)]]="L",1,4))</f>
        <v>2</v>
      </c>
      <c r="S89" t="s">
        <v>465</v>
      </c>
      <c r="T89" s="101">
        <f>IF(Table1[[#This Row],[TZone]]="EST",4,IF(Table1[[#This Row],[TZone]]="CST",3,IF(Table1[[#This Row],[TZone]]="MST",2,1)))</f>
        <v>3</v>
      </c>
      <c r="U89" t="s">
        <v>463</v>
      </c>
      <c r="V89" s="101">
        <f>IF(Table1[[#This Row],[Low-cost office?]]="Yes",-4,0)</f>
        <v>0</v>
      </c>
    </row>
    <row r="90" spans="1:22" x14ac:dyDescent="0.55000000000000004">
      <c r="A90" t="s">
        <v>532</v>
      </c>
      <c r="B9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90" t="s">
        <v>469</v>
      </c>
      <c r="D90" s="95" t="s">
        <v>470</v>
      </c>
      <c r="E90" s="94" t="s">
        <v>460</v>
      </c>
      <c r="F90" s="95" t="s">
        <v>470</v>
      </c>
      <c r="G90" s="95" t="s">
        <v>470</v>
      </c>
      <c r="H90" s="95" t="s">
        <v>470</v>
      </c>
      <c r="I90" s="95" t="s">
        <v>470</v>
      </c>
      <c r="J90" s="99">
        <f>IF(Table1[[#This Row],[CIV]]="⮽",0,1)*1.5</f>
        <v>0</v>
      </c>
      <c r="K90" s="99">
        <f>IF(Table1[[#This Row],[ARC]]="⮽",0,1)*3</f>
        <v>3</v>
      </c>
      <c r="L90" s="99">
        <f>IF(Table1[[#This Row],[STR]]="⮽",0,1)*2</f>
        <v>0</v>
      </c>
      <c r="M90" s="99">
        <f>IF(Table1[[#This Row],[MP]]="⮽",0,1)</f>
        <v>0</v>
      </c>
      <c r="N90" s="99">
        <f>IF(Table1[[#This Row],[ELE]]="⮽",0,1)</f>
        <v>0</v>
      </c>
      <c r="O90" s="99">
        <f>IF(Table1[[#This Row],[FP]]="⮽",0,1)</f>
        <v>0</v>
      </c>
      <c r="P90">
        <v>1</v>
      </c>
      <c r="Q90" t="s">
        <v>461</v>
      </c>
      <c r="R90" s="101">
        <f>IF(Table1[[#This Row],[Size (S, M, L)]]="S",2,IF(Table1[[#This Row],[Size (S, M, L)]]="L",1,4))</f>
        <v>4</v>
      </c>
      <c r="S90" t="s">
        <v>465</v>
      </c>
      <c r="T90" s="101">
        <f>IF(Table1[[#This Row],[TZone]]="EST",4,IF(Table1[[#This Row],[TZone]]="CST",3,IF(Table1[[#This Row],[TZone]]="MST",2,1)))</f>
        <v>3</v>
      </c>
      <c r="U90" t="s">
        <v>463</v>
      </c>
      <c r="V90" s="101">
        <f>IF(Table1[[#This Row],[Low-cost office?]]="Yes",-4,0)</f>
        <v>0</v>
      </c>
    </row>
    <row r="91" spans="1:22" x14ac:dyDescent="0.55000000000000004">
      <c r="A91" t="s">
        <v>533</v>
      </c>
      <c r="B9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91" t="s">
        <v>469</v>
      </c>
      <c r="D91" s="95" t="s">
        <v>470</v>
      </c>
      <c r="E91" s="95" t="s">
        <v>470</v>
      </c>
      <c r="F91" s="94" t="s">
        <v>460</v>
      </c>
      <c r="G91" s="95" t="s">
        <v>470</v>
      </c>
      <c r="H91" s="95" t="s">
        <v>470</v>
      </c>
      <c r="I91" s="95" t="s">
        <v>470</v>
      </c>
      <c r="J91" s="99">
        <f>IF(Table1[[#This Row],[CIV]]="⮽",0,1)*1.5</f>
        <v>0</v>
      </c>
      <c r="K91" s="99">
        <f>IF(Table1[[#This Row],[ARC]]="⮽",0,1)*3</f>
        <v>0</v>
      </c>
      <c r="L91" s="99">
        <f>IF(Table1[[#This Row],[STR]]="⮽",0,1)*2</f>
        <v>2</v>
      </c>
      <c r="M91" s="99">
        <f>IF(Table1[[#This Row],[MP]]="⮽",0,1)</f>
        <v>0</v>
      </c>
      <c r="N91" s="99">
        <f>IF(Table1[[#This Row],[ELE]]="⮽",0,1)</f>
        <v>0</v>
      </c>
      <c r="O91" s="99">
        <f>IF(Table1[[#This Row],[FP]]="⮽",0,1)</f>
        <v>0</v>
      </c>
      <c r="P91">
        <v>3</v>
      </c>
      <c r="Q91" t="s">
        <v>472</v>
      </c>
      <c r="R91" s="101">
        <f>IF(Table1[[#This Row],[Size (S, M, L)]]="S",2,IF(Table1[[#This Row],[Size (S, M, L)]]="L",1,4))</f>
        <v>2</v>
      </c>
      <c r="S91" t="s">
        <v>473</v>
      </c>
      <c r="T91" s="101">
        <f>IF(Table1[[#This Row],[TZone]]="EST",4,IF(Table1[[#This Row],[TZone]]="CST",3,IF(Table1[[#This Row],[TZone]]="MST",2,1)))</f>
        <v>2</v>
      </c>
      <c r="U91" t="s">
        <v>463</v>
      </c>
      <c r="V91" s="101">
        <f>IF(Table1[[#This Row],[Low-cost office?]]="Yes",-4,0)</f>
        <v>0</v>
      </c>
    </row>
    <row r="92" spans="1:22" x14ac:dyDescent="0.55000000000000004">
      <c r="A92" t="s">
        <v>534</v>
      </c>
      <c r="B9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92" t="s">
        <v>469</v>
      </c>
      <c r="D92" s="95" t="s">
        <v>470</v>
      </c>
      <c r="E92" s="94" t="s">
        <v>460</v>
      </c>
      <c r="F92" s="94" t="s">
        <v>460</v>
      </c>
      <c r="G92" s="94" t="s">
        <v>460</v>
      </c>
      <c r="H92" s="95" t="s">
        <v>470</v>
      </c>
      <c r="I92" s="95" t="s">
        <v>470</v>
      </c>
      <c r="J92" s="99">
        <f>IF(Table1[[#This Row],[CIV]]="⮽",0,1)*1.5</f>
        <v>0</v>
      </c>
      <c r="K92" s="99">
        <f>IF(Table1[[#This Row],[ARC]]="⮽",0,1)*3</f>
        <v>3</v>
      </c>
      <c r="L92" s="99">
        <f>IF(Table1[[#This Row],[STR]]="⮽",0,1)*2</f>
        <v>2</v>
      </c>
      <c r="M92" s="99">
        <f>IF(Table1[[#This Row],[MP]]="⮽",0,1)</f>
        <v>1</v>
      </c>
      <c r="N92" s="99">
        <f>IF(Table1[[#This Row],[ELE]]="⮽",0,1)</f>
        <v>0</v>
      </c>
      <c r="O92" s="99">
        <f>IF(Table1[[#This Row],[FP]]="⮽",0,1)</f>
        <v>0</v>
      </c>
      <c r="P92">
        <v>3</v>
      </c>
      <c r="Q92" t="s">
        <v>472</v>
      </c>
      <c r="R92" s="101">
        <f>IF(Table1[[#This Row],[Size (S, M, L)]]="S",2,IF(Table1[[#This Row],[Size (S, M, L)]]="L",1,4))</f>
        <v>2</v>
      </c>
      <c r="S92" t="s">
        <v>473</v>
      </c>
      <c r="T92" s="101">
        <f>IF(Table1[[#This Row],[TZone]]="EST",4,IF(Table1[[#This Row],[TZone]]="CST",3,IF(Table1[[#This Row],[TZone]]="MST",2,1)))</f>
        <v>2</v>
      </c>
      <c r="U92" t="s">
        <v>479</v>
      </c>
      <c r="V92" s="101">
        <f>IF(Table1[[#This Row],[Low-cost office?]]="Yes",-4,0)</f>
        <v>-4</v>
      </c>
    </row>
    <row r="93" spans="1:22" x14ac:dyDescent="0.55000000000000004">
      <c r="A93" t="s">
        <v>418</v>
      </c>
      <c r="B9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3" t="s">
        <v>469</v>
      </c>
      <c r="D93" s="95" t="s">
        <v>460</v>
      </c>
      <c r="E93" s="95" t="s">
        <v>470</v>
      </c>
      <c r="F93" s="95" t="s">
        <v>470</v>
      </c>
      <c r="G93" s="95" t="s">
        <v>460</v>
      </c>
      <c r="H93" s="95" t="s">
        <v>460</v>
      </c>
      <c r="I93" s="95" t="s">
        <v>470</v>
      </c>
      <c r="J93" s="99">
        <f>IF(Table1[[#This Row],[CIV]]="⮽",0,1)*1.5</f>
        <v>1.5</v>
      </c>
      <c r="K93" s="99">
        <f>IF(Table1[[#This Row],[ARC]]="⮽",0,1)*3</f>
        <v>0</v>
      </c>
      <c r="L93" s="99">
        <f>IF(Table1[[#This Row],[STR]]="⮽",0,1)*2</f>
        <v>0</v>
      </c>
      <c r="M93" s="99">
        <f>IF(Table1[[#This Row],[MP]]="⮽",0,1)</f>
        <v>1</v>
      </c>
      <c r="N93" s="99">
        <f>IF(Table1[[#This Row],[ELE]]="⮽",0,1)</f>
        <v>1</v>
      </c>
      <c r="O93" s="99">
        <f>IF(Table1[[#This Row],[FP]]="⮽",0,1)</f>
        <v>0</v>
      </c>
      <c r="P93">
        <v>2</v>
      </c>
      <c r="Q93" t="s">
        <v>475</v>
      </c>
      <c r="R93" s="101">
        <f>IF(Table1[[#This Row],[Size (S, M, L)]]="S",2,IF(Table1[[#This Row],[Size (S, M, L)]]="L",1,4))</f>
        <v>1</v>
      </c>
      <c r="S93" t="s">
        <v>465</v>
      </c>
      <c r="T93" s="101">
        <f>IF(Table1[[#This Row],[TZone]]="EST",4,IF(Table1[[#This Row],[TZone]]="CST",3,IF(Table1[[#This Row],[TZone]]="MST",2,1)))</f>
        <v>3</v>
      </c>
      <c r="U93" t="s">
        <v>463</v>
      </c>
      <c r="V93" s="101">
        <f>IF(Table1[[#This Row],[Low-cost office?]]="Yes",-4,0)</f>
        <v>0</v>
      </c>
    </row>
    <row r="94" spans="1:22" x14ac:dyDescent="0.55000000000000004">
      <c r="A94" t="s">
        <v>535</v>
      </c>
      <c r="B9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4" t="s">
        <v>469</v>
      </c>
      <c r="D94" s="95" t="s">
        <v>460</v>
      </c>
      <c r="E94" s="95" t="s">
        <v>460</v>
      </c>
      <c r="F94" s="95" t="s">
        <v>470</v>
      </c>
      <c r="G94" s="95" t="s">
        <v>470</v>
      </c>
      <c r="H94" s="95" t="s">
        <v>470</v>
      </c>
      <c r="I94" s="95" t="s">
        <v>470</v>
      </c>
      <c r="J94" s="99">
        <f>IF(Table1[[#This Row],[CIV]]="⮽",0,1)*1.5</f>
        <v>1.5</v>
      </c>
      <c r="K94" s="99">
        <f>IF(Table1[[#This Row],[ARC]]="⮽",0,1)*3</f>
        <v>3</v>
      </c>
      <c r="L94" s="99">
        <f>IF(Table1[[#This Row],[STR]]="⮽",0,1)*2</f>
        <v>0</v>
      </c>
      <c r="M94" s="99">
        <f>IF(Table1[[#This Row],[MP]]="⮽",0,1)</f>
        <v>0</v>
      </c>
      <c r="N94" s="99">
        <f>IF(Table1[[#This Row],[ELE]]="⮽",0,1)</f>
        <v>0</v>
      </c>
      <c r="O94" s="99">
        <f>IF(Table1[[#This Row],[FP]]="⮽",0,1)</f>
        <v>0</v>
      </c>
      <c r="P94">
        <v>1</v>
      </c>
      <c r="Q94" t="s">
        <v>472</v>
      </c>
      <c r="R94" s="101">
        <f>IF(Table1[[#This Row],[Size (S, M, L)]]="S",2,IF(Table1[[#This Row],[Size (S, M, L)]]="L",1,4))</f>
        <v>2</v>
      </c>
      <c r="S94" t="s">
        <v>465</v>
      </c>
      <c r="T94" s="101">
        <f>IF(Table1[[#This Row],[TZone]]="EST",4,IF(Table1[[#This Row],[TZone]]="CST",3,IF(Table1[[#This Row],[TZone]]="MST",2,1)))</f>
        <v>3</v>
      </c>
      <c r="U94" t="s">
        <v>463</v>
      </c>
      <c r="V94" s="101">
        <f>IF(Table1[[#This Row],[Low-cost office?]]="Yes",-4,0)</f>
        <v>0</v>
      </c>
    </row>
    <row r="95" spans="1:22" x14ac:dyDescent="0.55000000000000004">
      <c r="A95" t="s">
        <v>536</v>
      </c>
      <c r="B9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5" t="s">
        <v>469</v>
      </c>
      <c r="D95" s="95" t="s">
        <v>460</v>
      </c>
      <c r="E95" s="94" t="s">
        <v>470</v>
      </c>
      <c r="F95" s="94" t="s">
        <v>470</v>
      </c>
      <c r="G95" s="94" t="s">
        <v>470</v>
      </c>
      <c r="H95" s="94" t="s">
        <v>470</v>
      </c>
      <c r="I95" s="94" t="s">
        <v>470</v>
      </c>
      <c r="J95" s="98">
        <f>IF(Table1[[#This Row],[CIV]]="⮽",0,1)*1.5</f>
        <v>1.5</v>
      </c>
      <c r="K95" s="98">
        <f>IF(Table1[[#This Row],[ARC]]="⮽",0,1)*3</f>
        <v>0</v>
      </c>
      <c r="L95" s="98">
        <f>IF(Table1[[#This Row],[STR]]="⮽",0,1)*2</f>
        <v>0</v>
      </c>
      <c r="M95" s="98">
        <f>IF(Table1[[#This Row],[MP]]="⮽",0,1)</f>
        <v>0</v>
      </c>
      <c r="N95" s="98">
        <f>IF(Table1[[#This Row],[ELE]]="⮽",0,1)</f>
        <v>0</v>
      </c>
      <c r="O95" s="98">
        <f>IF(Table1[[#This Row],[FP]]="⮽",0,1)</f>
        <v>0</v>
      </c>
      <c r="P95">
        <v>2</v>
      </c>
      <c r="Q95" t="s">
        <v>472</v>
      </c>
      <c r="R95" s="101">
        <f>IF(Table1[[#This Row],[Size (S, M, L)]]="S",2,IF(Table1[[#This Row],[Size (S, M, L)]]="L",1,4))</f>
        <v>2</v>
      </c>
      <c r="S95" t="s">
        <v>462</v>
      </c>
      <c r="T95" s="101">
        <f>IF(Table1[[#This Row],[TZone]]="EST",4,IF(Table1[[#This Row],[TZone]]="CST",3,IF(Table1[[#This Row],[TZone]]="MST",2,1)))</f>
        <v>4</v>
      </c>
      <c r="U95" t="s">
        <v>463</v>
      </c>
      <c r="V95" s="101">
        <f>IF(Table1[[#This Row],[Low-cost office?]]="Yes",-4,0)</f>
        <v>0</v>
      </c>
    </row>
    <row r="96" spans="1:22" x14ac:dyDescent="0.55000000000000004">
      <c r="A96" t="s">
        <v>537</v>
      </c>
      <c r="B9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6" t="s">
        <v>469</v>
      </c>
      <c r="D96" s="94" t="s">
        <v>460</v>
      </c>
      <c r="E96" s="95" t="s">
        <v>470</v>
      </c>
      <c r="F96" s="95" t="s">
        <v>470</v>
      </c>
      <c r="G96" s="95" t="s">
        <v>470</v>
      </c>
      <c r="H96" s="94" t="s">
        <v>460</v>
      </c>
      <c r="I96" s="95" t="s">
        <v>470</v>
      </c>
      <c r="J96" s="99">
        <f>IF(Table1[[#This Row],[CIV]]="⮽",0,1)*1.5</f>
        <v>1.5</v>
      </c>
      <c r="K96" s="99">
        <f>IF(Table1[[#This Row],[ARC]]="⮽",0,1)*3</f>
        <v>0</v>
      </c>
      <c r="L96" s="99">
        <f>IF(Table1[[#This Row],[STR]]="⮽",0,1)*2</f>
        <v>0</v>
      </c>
      <c r="M96" s="99">
        <f>IF(Table1[[#This Row],[MP]]="⮽",0,1)</f>
        <v>0</v>
      </c>
      <c r="N96" s="99">
        <f>IF(Table1[[#This Row],[ELE]]="⮽",0,1)</f>
        <v>1</v>
      </c>
      <c r="O96" s="99">
        <f>IF(Table1[[#This Row],[FP]]="⮽",0,1)</f>
        <v>0</v>
      </c>
      <c r="P96">
        <v>2</v>
      </c>
      <c r="Q96" t="s">
        <v>472</v>
      </c>
      <c r="R96" s="101">
        <f>IF(Table1[[#This Row],[Size (S, M, L)]]="S",2,IF(Table1[[#This Row],[Size (S, M, L)]]="L",1,4))</f>
        <v>2</v>
      </c>
      <c r="S96" t="s">
        <v>465</v>
      </c>
      <c r="T96" s="101">
        <f>IF(Table1[[#This Row],[TZone]]="EST",4,IF(Table1[[#This Row],[TZone]]="CST",3,IF(Table1[[#This Row],[TZone]]="MST",2,1)))</f>
        <v>3</v>
      </c>
      <c r="U96" t="s">
        <v>463</v>
      </c>
      <c r="V96" s="101">
        <f>IF(Table1[[#This Row],[Low-cost office?]]="Yes",-4,0)</f>
        <v>0</v>
      </c>
    </row>
    <row r="97" spans="1:22" x14ac:dyDescent="0.55000000000000004">
      <c r="A97" t="s">
        <v>538</v>
      </c>
      <c r="B9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7" t="s">
        <v>469</v>
      </c>
      <c r="D97" s="94" t="s">
        <v>460</v>
      </c>
      <c r="E97" s="95" t="s">
        <v>470</v>
      </c>
      <c r="F97" s="94" t="s">
        <v>460</v>
      </c>
      <c r="G97" s="94" t="s">
        <v>460</v>
      </c>
      <c r="H97" s="94" t="s">
        <v>460</v>
      </c>
      <c r="I97" s="95" t="s">
        <v>470</v>
      </c>
      <c r="J97" s="99">
        <f>IF(Table1[[#This Row],[CIV]]="⮽",0,1)*1.5</f>
        <v>1.5</v>
      </c>
      <c r="K97" s="99">
        <f>IF(Table1[[#This Row],[ARC]]="⮽",0,1)*3</f>
        <v>0</v>
      </c>
      <c r="L97" s="99">
        <f>IF(Table1[[#This Row],[STR]]="⮽",0,1)*2</f>
        <v>2</v>
      </c>
      <c r="M97" s="99">
        <f>IF(Table1[[#This Row],[MP]]="⮽",0,1)</f>
        <v>1</v>
      </c>
      <c r="N97" s="99">
        <f>IF(Table1[[#This Row],[ELE]]="⮽",0,1)</f>
        <v>1</v>
      </c>
      <c r="O97" s="99">
        <f>IF(Table1[[#This Row],[FP]]="⮽",0,1)</f>
        <v>0</v>
      </c>
      <c r="P97">
        <v>1</v>
      </c>
      <c r="Q97" t="s">
        <v>475</v>
      </c>
      <c r="R97" s="101">
        <f>IF(Table1[[#This Row],[Size (S, M, L)]]="S",2,IF(Table1[[#This Row],[Size (S, M, L)]]="L",1,4))</f>
        <v>1</v>
      </c>
      <c r="S97" t="s">
        <v>465</v>
      </c>
      <c r="T97" s="101">
        <f>IF(Table1[[#This Row],[TZone]]="EST",4,IF(Table1[[#This Row],[TZone]]="CST",3,IF(Table1[[#This Row],[TZone]]="MST",2,1)))</f>
        <v>3</v>
      </c>
      <c r="U97" t="s">
        <v>463</v>
      </c>
      <c r="V97" s="101">
        <f>IF(Table1[[#This Row],[Low-cost office?]]="Yes",-4,0)</f>
        <v>0</v>
      </c>
    </row>
    <row r="98" spans="1:22" x14ac:dyDescent="0.55000000000000004">
      <c r="A98" t="s">
        <v>539</v>
      </c>
      <c r="B9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8" t="s">
        <v>469</v>
      </c>
      <c r="D98" s="94" t="s">
        <v>460</v>
      </c>
      <c r="E98" s="94" t="s">
        <v>460</v>
      </c>
      <c r="F98" s="95" t="s">
        <v>470</v>
      </c>
      <c r="G98" s="95" t="s">
        <v>470</v>
      </c>
      <c r="H98" s="95" t="s">
        <v>470</v>
      </c>
      <c r="I98" s="95" t="s">
        <v>470</v>
      </c>
      <c r="J98" s="99">
        <f>IF(Table1[[#This Row],[CIV]]="⮽",0,1)*1.5</f>
        <v>1.5</v>
      </c>
      <c r="K98" s="99">
        <f>IF(Table1[[#This Row],[ARC]]="⮽",0,1)*3</f>
        <v>3</v>
      </c>
      <c r="L98" s="99">
        <f>IF(Table1[[#This Row],[STR]]="⮽",0,1)*2</f>
        <v>0</v>
      </c>
      <c r="M98" s="99">
        <f>IF(Table1[[#This Row],[MP]]="⮽",0,1)</f>
        <v>0</v>
      </c>
      <c r="N98" s="99">
        <f>IF(Table1[[#This Row],[ELE]]="⮽",0,1)</f>
        <v>0</v>
      </c>
      <c r="O98" s="99">
        <f>IF(Table1[[#This Row],[FP]]="⮽",0,1)</f>
        <v>0</v>
      </c>
      <c r="P98">
        <v>2</v>
      </c>
      <c r="Q98" t="s">
        <v>461</v>
      </c>
      <c r="R98" s="101">
        <f>IF(Table1[[#This Row],[Size (S, M, L)]]="S",2,IF(Table1[[#This Row],[Size (S, M, L)]]="L",1,4))</f>
        <v>4</v>
      </c>
      <c r="S98" t="s">
        <v>465</v>
      </c>
      <c r="T98" s="101">
        <f>IF(Table1[[#This Row],[TZone]]="EST",4,IF(Table1[[#This Row],[TZone]]="CST",3,IF(Table1[[#This Row],[TZone]]="MST",2,1)))</f>
        <v>3</v>
      </c>
      <c r="U98" t="s">
        <v>479</v>
      </c>
      <c r="V98" s="101">
        <f>IF(Table1[[#This Row],[Low-cost office?]]="Yes",-4,0)</f>
        <v>-4</v>
      </c>
    </row>
    <row r="99" spans="1:22" x14ac:dyDescent="0.55000000000000004">
      <c r="A99" t="s">
        <v>540</v>
      </c>
      <c r="B9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9" t="s">
        <v>469</v>
      </c>
      <c r="D99" s="95" t="s">
        <v>460</v>
      </c>
      <c r="E99" s="95" t="s">
        <v>470</v>
      </c>
      <c r="F99" s="95" t="s">
        <v>470</v>
      </c>
      <c r="G99" s="95" t="s">
        <v>470</v>
      </c>
      <c r="H99" s="95" t="s">
        <v>470</v>
      </c>
      <c r="I99" s="95" t="s">
        <v>470</v>
      </c>
      <c r="J99" s="99">
        <f>IF(Table1[[#This Row],[CIV]]="⮽",0,1)*1.5</f>
        <v>1.5</v>
      </c>
      <c r="K99" s="99">
        <f>IF(Table1[[#This Row],[ARC]]="⮽",0,1)*3</f>
        <v>0</v>
      </c>
      <c r="L99" s="99">
        <f>IF(Table1[[#This Row],[STR]]="⮽",0,1)*2</f>
        <v>0</v>
      </c>
      <c r="M99" s="99">
        <f>IF(Table1[[#This Row],[MP]]="⮽",0,1)</f>
        <v>0</v>
      </c>
      <c r="N99" s="99">
        <f>IF(Table1[[#This Row],[ELE]]="⮽",0,1)</f>
        <v>0</v>
      </c>
      <c r="O99" s="99">
        <f>IF(Table1[[#This Row],[FP]]="⮽",0,1)</f>
        <v>0</v>
      </c>
      <c r="P99">
        <v>2</v>
      </c>
      <c r="Q99" t="s">
        <v>472</v>
      </c>
      <c r="R99" s="101">
        <f>IF(Table1[[#This Row],[Size (S, M, L)]]="S",2,IF(Table1[[#This Row],[Size (S, M, L)]]="L",1,4))</f>
        <v>2</v>
      </c>
      <c r="S99" t="s">
        <v>462</v>
      </c>
      <c r="T99" s="101">
        <f>IF(Table1[[#This Row],[TZone]]="EST",4,IF(Table1[[#This Row],[TZone]]="CST",3,IF(Table1[[#This Row],[TZone]]="MST",2,1)))</f>
        <v>4</v>
      </c>
      <c r="U99" t="s">
        <v>463</v>
      </c>
      <c r="V99" s="101">
        <f>IF(Table1[[#This Row],[Low-cost office?]]="Yes",-4,0)</f>
        <v>0</v>
      </c>
    </row>
    <row r="100" spans="1:22" x14ac:dyDescent="0.55000000000000004">
      <c r="A100" t="s">
        <v>541</v>
      </c>
      <c r="B10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0" t="s">
        <v>469</v>
      </c>
      <c r="D100" s="95" t="s">
        <v>470</v>
      </c>
      <c r="E100" s="95" t="s">
        <v>460</v>
      </c>
      <c r="F100" s="95" t="s">
        <v>470</v>
      </c>
      <c r="G100" s="95" t="s">
        <v>470</v>
      </c>
      <c r="H100" s="95" t="s">
        <v>470</v>
      </c>
      <c r="I100" s="95" t="s">
        <v>470</v>
      </c>
      <c r="J100" s="99">
        <f>IF(Table1[[#This Row],[CIV]]="⮽",0,1)*1.5</f>
        <v>0</v>
      </c>
      <c r="K100" s="99">
        <f>IF(Table1[[#This Row],[ARC]]="⮽",0,1)*3</f>
        <v>3</v>
      </c>
      <c r="L100" s="99">
        <f>IF(Table1[[#This Row],[STR]]="⮽",0,1)*2</f>
        <v>0</v>
      </c>
      <c r="M100" s="99">
        <f>IF(Table1[[#This Row],[MP]]="⮽",0,1)</f>
        <v>0</v>
      </c>
      <c r="N100" s="99">
        <f>IF(Table1[[#This Row],[ELE]]="⮽",0,1)</f>
        <v>0</v>
      </c>
      <c r="O100" s="99">
        <f>IF(Table1[[#This Row],[FP]]="⮽",0,1)</f>
        <v>0</v>
      </c>
      <c r="P100">
        <v>3</v>
      </c>
      <c r="Q100" t="s">
        <v>472</v>
      </c>
      <c r="R100" s="101">
        <f>IF(Table1[[#This Row],[Size (S, M, L)]]="S",2,IF(Table1[[#This Row],[Size (S, M, L)]]="L",1,4))</f>
        <v>2</v>
      </c>
      <c r="S100" t="s">
        <v>462</v>
      </c>
      <c r="T100" s="101">
        <f>IF(Table1[[#This Row],[TZone]]="EST",4,IF(Table1[[#This Row],[TZone]]="CST",3,IF(Table1[[#This Row],[TZone]]="MST",2,1)))</f>
        <v>4</v>
      </c>
      <c r="U100" t="s">
        <v>479</v>
      </c>
      <c r="V100" s="101">
        <f>IF(Table1[[#This Row],[Low-cost office?]]="Yes",-4,0)</f>
        <v>-4</v>
      </c>
    </row>
    <row r="101" spans="1:22" x14ac:dyDescent="0.55000000000000004">
      <c r="A101" t="s">
        <v>303</v>
      </c>
      <c r="B10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1" t="s">
        <v>469</v>
      </c>
      <c r="D101" s="95" t="s">
        <v>470</v>
      </c>
      <c r="E101" s="94" t="s">
        <v>460</v>
      </c>
      <c r="F101" s="95" t="s">
        <v>470</v>
      </c>
      <c r="G101" s="95" t="s">
        <v>470</v>
      </c>
      <c r="H101" s="95" t="s">
        <v>470</v>
      </c>
      <c r="I101" s="95" t="s">
        <v>470</v>
      </c>
      <c r="J101" s="99">
        <f>IF(Table1[[#This Row],[CIV]]="⮽",0,1)*1.5</f>
        <v>0</v>
      </c>
      <c r="K101" s="99">
        <f>IF(Table1[[#This Row],[ARC]]="⮽",0,1)*3</f>
        <v>3</v>
      </c>
      <c r="L101" s="99">
        <f>IF(Table1[[#This Row],[STR]]="⮽",0,1)*2</f>
        <v>0</v>
      </c>
      <c r="M101" s="99">
        <f>IF(Table1[[#This Row],[MP]]="⮽",0,1)</f>
        <v>0</v>
      </c>
      <c r="N101" s="99">
        <f>IF(Table1[[#This Row],[ELE]]="⮽",0,1)</f>
        <v>0</v>
      </c>
      <c r="O101" s="99">
        <f>IF(Table1[[#This Row],[FP]]="⮽",0,1)</f>
        <v>0</v>
      </c>
      <c r="P101">
        <v>1</v>
      </c>
      <c r="Q101" t="s">
        <v>472</v>
      </c>
      <c r="R101" s="101">
        <f>IF(Table1[[#This Row],[Size (S, M, L)]]="S",2,IF(Table1[[#This Row],[Size (S, M, L)]]="L",1,4))</f>
        <v>2</v>
      </c>
      <c r="S101" t="s">
        <v>462</v>
      </c>
      <c r="T101" s="101">
        <f>IF(Table1[[#This Row],[TZone]]="EST",4,IF(Table1[[#This Row],[TZone]]="CST",3,IF(Table1[[#This Row],[TZone]]="MST",2,1)))</f>
        <v>4</v>
      </c>
      <c r="U101" t="s">
        <v>463</v>
      </c>
      <c r="V101" s="101">
        <f>IF(Table1[[#This Row],[Low-cost office?]]="Yes",-4,0)</f>
        <v>0</v>
      </c>
    </row>
    <row r="102" spans="1:22" x14ac:dyDescent="0.55000000000000004">
      <c r="A102" t="s">
        <v>542</v>
      </c>
      <c r="B10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2" t="s">
        <v>469</v>
      </c>
      <c r="D102" s="95" t="s">
        <v>470</v>
      </c>
      <c r="E102" s="94" t="s">
        <v>460</v>
      </c>
      <c r="F102" s="95" t="s">
        <v>470</v>
      </c>
      <c r="G102" s="95" t="s">
        <v>470</v>
      </c>
      <c r="H102" s="95" t="s">
        <v>470</v>
      </c>
      <c r="I102" s="95" t="s">
        <v>470</v>
      </c>
      <c r="J102" s="99">
        <f>IF(Table1[[#This Row],[CIV]]="⮽",0,1)*1.5</f>
        <v>0</v>
      </c>
      <c r="K102" s="99">
        <f>IF(Table1[[#This Row],[ARC]]="⮽",0,1)*3</f>
        <v>3</v>
      </c>
      <c r="L102" s="99">
        <f>IF(Table1[[#This Row],[STR]]="⮽",0,1)*2</f>
        <v>0</v>
      </c>
      <c r="M102" s="99">
        <f>IF(Table1[[#This Row],[MP]]="⮽",0,1)</f>
        <v>0</v>
      </c>
      <c r="N102" s="99">
        <f>IF(Table1[[#This Row],[ELE]]="⮽",0,1)</f>
        <v>0</v>
      </c>
      <c r="O102" s="99">
        <f>IF(Table1[[#This Row],[FP]]="⮽",0,1)</f>
        <v>0</v>
      </c>
      <c r="P102">
        <v>1</v>
      </c>
      <c r="Q102" t="s">
        <v>472</v>
      </c>
      <c r="R102" s="101">
        <f>IF(Table1[[#This Row],[Size (S, M, L)]]="S",2,IF(Table1[[#This Row],[Size (S, M, L)]]="L",1,4))</f>
        <v>2</v>
      </c>
      <c r="S102" t="s">
        <v>462</v>
      </c>
      <c r="T102" s="101">
        <f>IF(Table1[[#This Row],[TZone]]="EST",4,IF(Table1[[#This Row],[TZone]]="CST",3,IF(Table1[[#This Row],[TZone]]="MST",2,1)))</f>
        <v>4</v>
      </c>
      <c r="U102" t="s">
        <v>463</v>
      </c>
      <c r="V102" s="101">
        <f>IF(Table1[[#This Row],[Low-cost office?]]="Yes",-4,0)</f>
        <v>0</v>
      </c>
    </row>
    <row r="103" spans="1:22" x14ac:dyDescent="0.55000000000000004">
      <c r="A103" t="s">
        <v>543</v>
      </c>
      <c r="B10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3" t="s">
        <v>469</v>
      </c>
      <c r="D103" s="95" t="s">
        <v>470</v>
      </c>
      <c r="E103" s="94" t="s">
        <v>460</v>
      </c>
      <c r="F103" s="95" t="s">
        <v>470</v>
      </c>
      <c r="G103" s="95" t="s">
        <v>470</v>
      </c>
      <c r="H103" s="95" t="s">
        <v>470</v>
      </c>
      <c r="I103" s="95" t="s">
        <v>470</v>
      </c>
      <c r="J103" s="99">
        <f>IF(Table1[[#This Row],[CIV]]="⮽",0,1)*1.5</f>
        <v>0</v>
      </c>
      <c r="K103" s="99">
        <f>IF(Table1[[#This Row],[ARC]]="⮽",0,1)*3</f>
        <v>3</v>
      </c>
      <c r="L103" s="99">
        <f>IF(Table1[[#This Row],[STR]]="⮽",0,1)*2</f>
        <v>0</v>
      </c>
      <c r="M103" s="99">
        <f>IF(Table1[[#This Row],[MP]]="⮽",0,1)</f>
        <v>0</v>
      </c>
      <c r="N103" s="99">
        <f>IF(Table1[[#This Row],[ELE]]="⮽",0,1)</f>
        <v>0</v>
      </c>
      <c r="O103" s="99">
        <f>IF(Table1[[#This Row],[FP]]="⮽",0,1)</f>
        <v>0</v>
      </c>
      <c r="P103">
        <v>1</v>
      </c>
      <c r="Q103" t="s">
        <v>472</v>
      </c>
      <c r="R103" s="101">
        <f>IF(Table1[[#This Row],[Size (S, M, L)]]="S",2,IF(Table1[[#This Row],[Size (S, M, L)]]="L",1,4))</f>
        <v>2</v>
      </c>
      <c r="S103" t="s">
        <v>462</v>
      </c>
      <c r="T103" s="101">
        <f>IF(Table1[[#This Row],[TZone]]="EST",4,IF(Table1[[#This Row],[TZone]]="CST",3,IF(Table1[[#This Row],[TZone]]="MST",2,1)))</f>
        <v>4</v>
      </c>
      <c r="U103" t="s">
        <v>463</v>
      </c>
      <c r="V103" s="101">
        <f>IF(Table1[[#This Row],[Low-cost office?]]="Yes",-4,0)</f>
        <v>0</v>
      </c>
    </row>
    <row r="104" spans="1:22" x14ac:dyDescent="0.55000000000000004">
      <c r="A104" t="s">
        <v>544</v>
      </c>
      <c r="B10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4" t="s">
        <v>469</v>
      </c>
      <c r="D104" s="94" t="s">
        <v>470</v>
      </c>
      <c r="E104" s="95" t="s">
        <v>470</v>
      </c>
      <c r="F104" s="95" t="s">
        <v>470</v>
      </c>
      <c r="G104" s="95" t="s">
        <v>460</v>
      </c>
      <c r="H104" s="95" t="s">
        <v>460</v>
      </c>
      <c r="I104" s="95" t="s">
        <v>470</v>
      </c>
      <c r="J104" s="99">
        <f>IF(Table1[[#This Row],[CIV]]="⮽",0,1)*1.5</f>
        <v>0</v>
      </c>
      <c r="K104" s="99">
        <f>IF(Table1[[#This Row],[ARC]]="⮽",0,1)*3</f>
        <v>0</v>
      </c>
      <c r="L104" s="99">
        <f>IF(Table1[[#This Row],[STR]]="⮽",0,1)*2</f>
        <v>0</v>
      </c>
      <c r="M104" s="99">
        <f>IF(Table1[[#This Row],[MP]]="⮽",0,1)</f>
        <v>1</v>
      </c>
      <c r="N104" s="99">
        <f>IF(Table1[[#This Row],[ELE]]="⮽",0,1)</f>
        <v>1</v>
      </c>
      <c r="O104" s="99">
        <f>IF(Table1[[#This Row],[FP]]="⮽",0,1)</f>
        <v>0</v>
      </c>
      <c r="P104">
        <v>2</v>
      </c>
      <c r="Q104" t="s">
        <v>472</v>
      </c>
      <c r="R104" s="101">
        <f>IF(Table1[[#This Row],[Size (S, M, L)]]="S",2,IF(Table1[[#This Row],[Size (S, M, L)]]="L",1,4))</f>
        <v>2</v>
      </c>
      <c r="S104" t="s">
        <v>465</v>
      </c>
      <c r="T104" s="101">
        <f>IF(Table1[[#This Row],[TZone]]="EST",4,IF(Table1[[#This Row],[TZone]]="CST",3,IF(Table1[[#This Row],[TZone]]="MST",2,1)))</f>
        <v>3</v>
      </c>
      <c r="U104" t="s">
        <v>463</v>
      </c>
      <c r="V104" s="101">
        <f>IF(Table1[[#This Row],[Low-cost office?]]="Yes",-4,0)</f>
        <v>0</v>
      </c>
    </row>
    <row r="105" spans="1:22" x14ac:dyDescent="0.55000000000000004">
      <c r="A105" t="s">
        <v>545</v>
      </c>
      <c r="B10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5" t="s">
        <v>138</v>
      </c>
      <c r="D105" s="95" t="s">
        <v>470</v>
      </c>
      <c r="E105" s="95" t="s">
        <v>470</v>
      </c>
      <c r="F105" s="95" t="s">
        <v>470</v>
      </c>
      <c r="G105" s="95" t="s">
        <v>470</v>
      </c>
      <c r="H105" s="95" t="s">
        <v>470</v>
      </c>
      <c r="I105" s="95" t="s">
        <v>470</v>
      </c>
      <c r="J105" s="99">
        <f>IF(Table1[[#This Row],[CIV]]="⮽",0,1)*1.5</f>
        <v>0</v>
      </c>
      <c r="K105" s="99">
        <f>IF(Table1[[#This Row],[ARC]]="⮽",0,1)*3</f>
        <v>0</v>
      </c>
      <c r="L105" s="99">
        <f>IF(Table1[[#This Row],[STR]]="⮽",0,1)*2</f>
        <v>0</v>
      </c>
      <c r="M105" s="99">
        <f>IF(Table1[[#This Row],[MP]]="⮽",0,1)</f>
        <v>0</v>
      </c>
      <c r="N105" s="99">
        <f>IF(Table1[[#This Row],[ELE]]="⮽",0,1)</f>
        <v>0</v>
      </c>
      <c r="O105" s="99">
        <f>IF(Table1[[#This Row],[FP]]="⮽",0,1)</f>
        <v>0</v>
      </c>
      <c r="P105">
        <v>3</v>
      </c>
      <c r="Q105" t="s">
        <v>472</v>
      </c>
      <c r="R105" s="101">
        <f>IF(Table1[[#This Row],[Size (S, M, L)]]="S",2,IF(Table1[[#This Row],[Size (S, M, L)]]="L",1,4))</f>
        <v>2</v>
      </c>
      <c r="S105" t="s">
        <v>465</v>
      </c>
      <c r="T105" s="101">
        <f>IF(Table1[[#This Row],[TZone]]="EST",4,IF(Table1[[#This Row],[TZone]]="CST",3,IF(Table1[[#This Row],[TZone]]="MST",2,1)))</f>
        <v>3</v>
      </c>
      <c r="U105" t="s">
        <v>463</v>
      </c>
      <c r="V105" s="101">
        <f>IF(Table1[[#This Row],[Low-cost office?]]="Yes",-4,0)</f>
        <v>0</v>
      </c>
    </row>
    <row r="106" spans="1:22" x14ac:dyDescent="0.55000000000000004">
      <c r="A106" t="s">
        <v>546</v>
      </c>
      <c r="B10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6" t="s">
        <v>469</v>
      </c>
      <c r="D106" s="95" t="s">
        <v>470</v>
      </c>
      <c r="E106" s="94" t="s">
        <v>460</v>
      </c>
      <c r="F106" s="95" t="s">
        <v>470</v>
      </c>
      <c r="G106" s="95" t="s">
        <v>470</v>
      </c>
      <c r="H106" s="95" t="s">
        <v>470</v>
      </c>
      <c r="I106" s="95" t="s">
        <v>470</v>
      </c>
      <c r="J106" s="99">
        <f>IF(Table1[[#This Row],[CIV]]="⮽",0,1)*1.5</f>
        <v>0</v>
      </c>
      <c r="K106" s="99">
        <f>IF(Table1[[#This Row],[ARC]]="⮽",0,1)*3</f>
        <v>3</v>
      </c>
      <c r="L106" s="99">
        <f>IF(Table1[[#This Row],[STR]]="⮽",0,1)*2</f>
        <v>0</v>
      </c>
      <c r="M106" s="99">
        <f>IF(Table1[[#This Row],[MP]]="⮽",0,1)</f>
        <v>0</v>
      </c>
      <c r="N106" s="99">
        <f>IF(Table1[[#This Row],[ELE]]="⮽",0,1)</f>
        <v>0</v>
      </c>
      <c r="O106" s="99">
        <f>IF(Table1[[#This Row],[FP]]="⮽",0,1)</f>
        <v>0</v>
      </c>
      <c r="P106">
        <v>1</v>
      </c>
      <c r="Q106" t="s">
        <v>472</v>
      </c>
      <c r="R106" s="101">
        <f>IF(Table1[[#This Row],[Size (S, M, L)]]="S",2,IF(Table1[[#This Row],[Size (S, M, L)]]="L",1,4))</f>
        <v>2</v>
      </c>
      <c r="S106" t="s">
        <v>462</v>
      </c>
      <c r="T106" s="101">
        <f>IF(Table1[[#This Row],[TZone]]="EST",4,IF(Table1[[#This Row],[TZone]]="CST",3,IF(Table1[[#This Row],[TZone]]="MST",2,1)))</f>
        <v>4</v>
      </c>
      <c r="U106" t="s">
        <v>463</v>
      </c>
      <c r="V106" s="101">
        <f>IF(Table1[[#This Row],[Low-cost office?]]="Yes",-4,0)</f>
        <v>0</v>
      </c>
    </row>
    <row r="107" spans="1:22" x14ac:dyDescent="0.55000000000000004">
      <c r="A107" t="s">
        <v>547</v>
      </c>
      <c r="B10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7" t="s">
        <v>469</v>
      </c>
      <c r="D107" s="95" t="s">
        <v>470</v>
      </c>
      <c r="E107" s="94" t="s">
        <v>460</v>
      </c>
      <c r="F107" s="95" t="s">
        <v>470</v>
      </c>
      <c r="G107" s="95" t="s">
        <v>470</v>
      </c>
      <c r="H107" s="95" t="s">
        <v>470</v>
      </c>
      <c r="I107" s="95" t="s">
        <v>470</v>
      </c>
      <c r="J107" s="99">
        <f>IF(Table1[[#This Row],[CIV]]="⮽",0,1)*1.5</f>
        <v>0</v>
      </c>
      <c r="K107" s="99">
        <f>IF(Table1[[#This Row],[ARC]]="⮽",0,1)*3</f>
        <v>3</v>
      </c>
      <c r="L107" s="99">
        <f>IF(Table1[[#This Row],[STR]]="⮽",0,1)*2</f>
        <v>0</v>
      </c>
      <c r="M107" s="99">
        <f>IF(Table1[[#This Row],[MP]]="⮽",0,1)</f>
        <v>0</v>
      </c>
      <c r="N107" s="99">
        <f>IF(Table1[[#This Row],[ELE]]="⮽",0,1)</f>
        <v>0</v>
      </c>
      <c r="O107" s="99">
        <f>IF(Table1[[#This Row],[FP]]="⮽",0,1)</f>
        <v>0</v>
      </c>
      <c r="P107">
        <v>1</v>
      </c>
      <c r="Q107" t="s">
        <v>472</v>
      </c>
      <c r="R107" s="101">
        <f>IF(Table1[[#This Row],[Size (S, M, L)]]="S",2,IF(Table1[[#This Row],[Size (S, M, L)]]="L",1,4))</f>
        <v>2</v>
      </c>
      <c r="S107" t="s">
        <v>462</v>
      </c>
      <c r="T107" s="101">
        <f>IF(Table1[[#This Row],[TZone]]="EST",4,IF(Table1[[#This Row],[TZone]]="CST",3,IF(Table1[[#This Row],[TZone]]="MST",2,1)))</f>
        <v>4</v>
      </c>
      <c r="U107" t="s">
        <v>463</v>
      </c>
      <c r="V107" s="101">
        <f>IF(Table1[[#This Row],[Low-cost office?]]="Yes",-4,0)</f>
        <v>0</v>
      </c>
    </row>
    <row r="108" spans="1:22" x14ac:dyDescent="0.55000000000000004">
      <c r="A108" t="s">
        <v>548</v>
      </c>
      <c r="B10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8" t="s">
        <v>469</v>
      </c>
      <c r="D108" s="95" t="s">
        <v>470</v>
      </c>
      <c r="E108" s="94" t="s">
        <v>460</v>
      </c>
      <c r="F108" s="95" t="s">
        <v>470</v>
      </c>
      <c r="G108" s="95" t="s">
        <v>470</v>
      </c>
      <c r="H108" s="95" t="s">
        <v>470</v>
      </c>
      <c r="I108" s="95" t="s">
        <v>470</v>
      </c>
      <c r="J108" s="99">
        <f>IF(Table1[[#This Row],[CIV]]="⮽",0,1)*1.5</f>
        <v>0</v>
      </c>
      <c r="K108" s="99">
        <f>IF(Table1[[#This Row],[ARC]]="⮽",0,1)*3</f>
        <v>3</v>
      </c>
      <c r="L108" s="99">
        <f>IF(Table1[[#This Row],[STR]]="⮽",0,1)*2</f>
        <v>0</v>
      </c>
      <c r="M108" s="99">
        <f>IF(Table1[[#This Row],[MP]]="⮽",0,1)</f>
        <v>0</v>
      </c>
      <c r="N108" s="99">
        <f>IF(Table1[[#This Row],[ELE]]="⮽",0,1)</f>
        <v>0</v>
      </c>
      <c r="O108" s="99">
        <f>IF(Table1[[#This Row],[FP]]="⮽",0,1)</f>
        <v>0</v>
      </c>
      <c r="P108">
        <v>1</v>
      </c>
      <c r="Q108" t="s">
        <v>472</v>
      </c>
      <c r="R108" s="101">
        <f>IF(Table1[[#This Row],[Size (S, M, L)]]="S",2,IF(Table1[[#This Row],[Size (S, M, L)]]="L",1,4))</f>
        <v>2</v>
      </c>
      <c r="S108" t="s">
        <v>462</v>
      </c>
      <c r="T108" s="101">
        <f>IF(Table1[[#This Row],[TZone]]="EST",4,IF(Table1[[#This Row],[TZone]]="CST",3,IF(Table1[[#This Row],[TZone]]="MST",2,1)))</f>
        <v>4</v>
      </c>
      <c r="U108" t="s">
        <v>463</v>
      </c>
      <c r="V108" s="101">
        <f>IF(Table1[[#This Row],[Low-cost office?]]="Yes",-4,0)</f>
        <v>0</v>
      </c>
    </row>
    <row r="109" spans="1:22" x14ac:dyDescent="0.55000000000000004">
      <c r="A109" t="s">
        <v>549</v>
      </c>
      <c r="B10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9" t="s">
        <v>469</v>
      </c>
      <c r="D109" s="95" t="s">
        <v>470</v>
      </c>
      <c r="E109" s="94" t="s">
        <v>460</v>
      </c>
      <c r="F109" s="95" t="s">
        <v>470</v>
      </c>
      <c r="G109" s="95" t="s">
        <v>470</v>
      </c>
      <c r="H109" s="95" t="s">
        <v>470</v>
      </c>
      <c r="I109" s="95" t="s">
        <v>470</v>
      </c>
      <c r="J109" s="99">
        <f>IF(Table1[[#This Row],[CIV]]="⮽",0,1)*1.5</f>
        <v>0</v>
      </c>
      <c r="K109" s="99">
        <f>IF(Table1[[#This Row],[ARC]]="⮽",0,1)*3</f>
        <v>3</v>
      </c>
      <c r="L109" s="99">
        <f>IF(Table1[[#This Row],[STR]]="⮽",0,1)*2</f>
        <v>0</v>
      </c>
      <c r="M109" s="99">
        <f>IF(Table1[[#This Row],[MP]]="⮽",0,1)</f>
        <v>0</v>
      </c>
      <c r="N109" s="99">
        <f>IF(Table1[[#This Row],[ELE]]="⮽",0,1)</f>
        <v>0</v>
      </c>
      <c r="O109" s="99">
        <f>IF(Table1[[#This Row],[FP]]="⮽",0,1)</f>
        <v>0</v>
      </c>
      <c r="P109">
        <v>1</v>
      </c>
      <c r="Q109" t="s">
        <v>472</v>
      </c>
      <c r="R109" s="101">
        <f>IF(Table1[[#This Row],[Size (S, M, L)]]="S",2,IF(Table1[[#This Row],[Size (S, M, L)]]="L",1,4))</f>
        <v>2</v>
      </c>
      <c r="S109" t="s">
        <v>462</v>
      </c>
      <c r="T109" s="101">
        <f>IF(Table1[[#This Row],[TZone]]="EST",4,IF(Table1[[#This Row],[TZone]]="CST",3,IF(Table1[[#This Row],[TZone]]="MST",2,1)))</f>
        <v>4</v>
      </c>
      <c r="U109" t="s">
        <v>463</v>
      </c>
      <c r="V109" s="101">
        <f>IF(Table1[[#This Row],[Low-cost office?]]="Yes",-4,0)</f>
        <v>0</v>
      </c>
    </row>
    <row r="110" spans="1:22" x14ac:dyDescent="0.55000000000000004">
      <c r="A110" t="s">
        <v>550</v>
      </c>
      <c r="B11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10.5</v>
      </c>
      <c r="C110" t="s">
        <v>469</v>
      </c>
      <c r="D110" s="95" t="s">
        <v>460</v>
      </c>
      <c r="E110" s="94" t="s">
        <v>470</v>
      </c>
      <c r="F110" s="94" t="s">
        <v>470</v>
      </c>
      <c r="G110" s="94" t="s">
        <v>470</v>
      </c>
      <c r="H110" s="94" t="s">
        <v>470</v>
      </c>
      <c r="I110" s="94" t="s">
        <v>470</v>
      </c>
      <c r="J110" s="98">
        <f>IF(Table1[[#This Row],[CIV]]="⮽",0,1)*1.5</f>
        <v>1.5</v>
      </c>
      <c r="K110" s="98">
        <f>IF(Table1[[#This Row],[ARC]]="⮽",0,1)*3</f>
        <v>0</v>
      </c>
      <c r="L110" s="98">
        <f>IF(Table1[[#This Row],[STR]]="⮽",0,1)*2</f>
        <v>0</v>
      </c>
      <c r="M110" s="98">
        <f>IF(Table1[[#This Row],[MP]]="⮽",0,1)</f>
        <v>0</v>
      </c>
      <c r="N110" s="98">
        <f>IF(Table1[[#This Row],[ELE]]="⮽",0,1)</f>
        <v>0</v>
      </c>
      <c r="O110" s="98">
        <f>IF(Table1[[#This Row],[FP]]="⮽",0,1)</f>
        <v>0</v>
      </c>
      <c r="P110">
        <v>2</v>
      </c>
      <c r="Q110" t="s">
        <v>475</v>
      </c>
      <c r="R110" s="101">
        <f>IF(Table1[[#This Row],[Size (S, M, L)]]="S",2,IF(Table1[[#This Row],[Size (S, M, L)]]="L",1,4))</f>
        <v>1</v>
      </c>
      <c r="S110" t="s">
        <v>462</v>
      </c>
      <c r="T110" s="101">
        <f>IF(Table1[[#This Row],[TZone]]="EST",4,IF(Table1[[#This Row],[TZone]]="CST",3,IF(Table1[[#This Row],[TZone]]="MST",2,1)))</f>
        <v>4</v>
      </c>
      <c r="U110" t="s">
        <v>463</v>
      </c>
      <c r="V110" s="101">
        <f>IF(Table1[[#This Row],[Low-cost office?]]="Yes",-4,0)</f>
        <v>0</v>
      </c>
    </row>
    <row r="111" spans="1:22" x14ac:dyDescent="0.55000000000000004">
      <c r="A111" t="s">
        <v>551</v>
      </c>
      <c r="B11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10.5</v>
      </c>
      <c r="C111" t="s">
        <v>469</v>
      </c>
      <c r="D111" s="94" t="s">
        <v>460</v>
      </c>
      <c r="E111" s="95" t="s">
        <v>470</v>
      </c>
      <c r="F111" s="95" t="s">
        <v>470</v>
      </c>
      <c r="G111" s="95" t="s">
        <v>470</v>
      </c>
      <c r="H111" s="95" t="s">
        <v>470</v>
      </c>
      <c r="I111" s="95" t="s">
        <v>470</v>
      </c>
      <c r="J111" s="99">
        <f>IF(Table1[[#This Row],[CIV]]="⮽",0,1)*1.5</f>
        <v>1.5</v>
      </c>
      <c r="K111" s="99">
        <f>IF(Table1[[#This Row],[ARC]]="⮽",0,1)*3</f>
        <v>0</v>
      </c>
      <c r="L111" s="99">
        <f>IF(Table1[[#This Row],[STR]]="⮽",0,1)*2</f>
        <v>0</v>
      </c>
      <c r="M111" s="99">
        <f>IF(Table1[[#This Row],[MP]]="⮽",0,1)</f>
        <v>0</v>
      </c>
      <c r="N111" s="99">
        <f>IF(Table1[[#This Row],[ELE]]="⮽",0,1)</f>
        <v>0</v>
      </c>
      <c r="O111" s="99">
        <f>IF(Table1[[#This Row],[FP]]="⮽",0,1)</f>
        <v>0</v>
      </c>
      <c r="P111">
        <v>2</v>
      </c>
      <c r="Q111" t="s">
        <v>461</v>
      </c>
      <c r="R111" s="101">
        <f>IF(Table1[[#This Row],[Size (S, M, L)]]="S",2,IF(Table1[[#This Row],[Size (S, M, L)]]="L",1,4))</f>
        <v>4</v>
      </c>
      <c r="S111" t="s">
        <v>485</v>
      </c>
      <c r="T111" s="101">
        <f>IF(Table1[[#This Row],[TZone]]="EST",4,IF(Table1[[#This Row],[TZone]]="CST",3,IF(Table1[[#This Row],[TZone]]="MST",2,1)))</f>
        <v>1</v>
      </c>
      <c r="U111" t="s">
        <v>463</v>
      </c>
      <c r="V111" s="101">
        <f>IF(Table1[[#This Row],[Low-cost office?]]="Yes",-4,0)</f>
        <v>0</v>
      </c>
    </row>
    <row r="112" spans="1:22" x14ac:dyDescent="0.55000000000000004">
      <c r="A112" t="s">
        <v>552</v>
      </c>
      <c r="B11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10.5</v>
      </c>
      <c r="C112" t="s">
        <v>469</v>
      </c>
      <c r="D112" s="94" t="s">
        <v>460</v>
      </c>
      <c r="E112" s="95" t="s">
        <v>470</v>
      </c>
      <c r="F112" s="95" t="s">
        <v>470</v>
      </c>
      <c r="G112" s="95" t="s">
        <v>470</v>
      </c>
      <c r="H112" s="95" t="s">
        <v>470</v>
      </c>
      <c r="I112" s="95" t="s">
        <v>470</v>
      </c>
      <c r="J112" s="99">
        <f>IF(Table1[[#This Row],[CIV]]="⮽",0,1)*1.5</f>
        <v>1.5</v>
      </c>
      <c r="K112" s="99">
        <f>IF(Table1[[#This Row],[ARC]]="⮽",0,1)*3</f>
        <v>0</v>
      </c>
      <c r="L112" s="99">
        <f>IF(Table1[[#This Row],[STR]]="⮽",0,1)*2</f>
        <v>0</v>
      </c>
      <c r="M112" s="99">
        <f>IF(Table1[[#This Row],[MP]]="⮽",0,1)</f>
        <v>0</v>
      </c>
      <c r="N112" s="99">
        <f>IF(Table1[[#This Row],[ELE]]="⮽",0,1)</f>
        <v>0</v>
      </c>
      <c r="O112" s="99">
        <f>IF(Table1[[#This Row],[FP]]="⮽",0,1)</f>
        <v>0</v>
      </c>
      <c r="P112">
        <v>1</v>
      </c>
      <c r="Q112" t="s">
        <v>461</v>
      </c>
      <c r="R112" s="101">
        <f>IF(Table1[[#This Row],[Size (S, M, L)]]="S",2,IF(Table1[[#This Row],[Size (S, M, L)]]="L",1,4))</f>
        <v>4</v>
      </c>
      <c r="S112" t="s">
        <v>465</v>
      </c>
      <c r="T112" s="101">
        <f>IF(Table1[[#This Row],[TZone]]="EST",4,IF(Table1[[#This Row],[TZone]]="CST",3,IF(Table1[[#This Row],[TZone]]="MST",2,1)))</f>
        <v>3</v>
      </c>
      <c r="U112" t="s">
        <v>463</v>
      </c>
      <c r="V112" s="101">
        <f>IF(Table1[[#This Row],[Low-cost office?]]="Yes",-4,0)</f>
        <v>0</v>
      </c>
    </row>
    <row r="113" spans="1:22" x14ac:dyDescent="0.55000000000000004">
      <c r="A113" t="s">
        <v>553</v>
      </c>
      <c r="B11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10.5</v>
      </c>
      <c r="C113" t="s">
        <v>469</v>
      </c>
      <c r="D113" s="94" t="s">
        <v>460</v>
      </c>
      <c r="E113" s="94" t="s">
        <v>460</v>
      </c>
      <c r="F113" s="94" t="s">
        <v>460</v>
      </c>
      <c r="G113" s="94" t="s">
        <v>460</v>
      </c>
      <c r="H113" s="94" t="s">
        <v>460</v>
      </c>
      <c r="I113" s="94" t="s">
        <v>460</v>
      </c>
      <c r="J113" s="98">
        <f>IF(Table1[[#This Row],[CIV]]="⮽",0,1)*1.5</f>
        <v>1.5</v>
      </c>
      <c r="K113" s="98">
        <f>IF(Table1[[#This Row],[ARC]]="⮽",0,1)*3</f>
        <v>3</v>
      </c>
      <c r="L113" s="98">
        <f>IF(Table1[[#This Row],[STR]]="⮽",0,1)*2</f>
        <v>2</v>
      </c>
      <c r="M113" s="98">
        <f>IF(Table1[[#This Row],[MP]]="⮽",0,1)</f>
        <v>1</v>
      </c>
      <c r="N113" s="98">
        <f>IF(Table1[[#This Row],[ELE]]="⮽",0,1)</f>
        <v>1</v>
      </c>
      <c r="O113" s="98">
        <f>IF(Table1[[#This Row],[FP]]="⮽",0,1)</f>
        <v>1</v>
      </c>
      <c r="P113">
        <v>1</v>
      </c>
      <c r="Q113" t="s">
        <v>475</v>
      </c>
      <c r="R113" s="101">
        <f>IF(Table1[[#This Row],[Size (S, M, L)]]="S",2,IF(Table1[[#This Row],[Size (S, M, L)]]="L",1,4))</f>
        <v>1</v>
      </c>
      <c r="S113" t="s">
        <v>473</v>
      </c>
      <c r="T113" s="101">
        <f>IF(Table1[[#This Row],[TZone]]="EST",4,IF(Table1[[#This Row],[TZone]]="CST",3,IF(Table1[[#This Row],[TZone]]="MST",2,1)))</f>
        <v>2</v>
      </c>
      <c r="U113" t="s">
        <v>479</v>
      </c>
      <c r="V113" s="101">
        <f>IF(Table1[[#This Row],[Low-cost office?]]="Yes",-4,0)</f>
        <v>-4</v>
      </c>
    </row>
    <row r="114" spans="1:22" x14ac:dyDescent="0.55000000000000004">
      <c r="A114" t="s">
        <v>554</v>
      </c>
      <c r="B11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4" t="s">
        <v>469</v>
      </c>
      <c r="D114" s="95" t="s">
        <v>470</v>
      </c>
      <c r="E114" s="94" t="s">
        <v>460</v>
      </c>
      <c r="F114" s="95" t="s">
        <v>470</v>
      </c>
      <c r="G114" s="95" t="s">
        <v>470</v>
      </c>
      <c r="H114" s="95" t="s">
        <v>470</v>
      </c>
      <c r="I114" s="95" t="s">
        <v>470</v>
      </c>
      <c r="J114" s="99">
        <f>IF(Table1[[#This Row],[CIV]]="⮽",0,1)*1.5</f>
        <v>0</v>
      </c>
      <c r="K114" s="99">
        <f>IF(Table1[[#This Row],[ARC]]="⮽",0,1)*3</f>
        <v>3</v>
      </c>
      <c r="L114" s="99">
        <f>IF(Table1[[#This Row],[STR]]="⮽",0,1)*2</f>
        <v>0</v>
      </c>
      <c r="M114" s="99">
        <f>IF(Table1[[#This Row],[MP]]="⮽",0,1)</f>
        <v>0</v>
      </c>
      <c r="N114" s="99">
        <f>IF(Table1[[#This Row],[ELE]]="⮽",0,1)</f>
        <v>0</v>
      </c>
      <c r="O114" s="99">
        <f>IF(Table1[[#This Row],[FP]]="⮽",0,1)</f>
        <v>0</v>
      </c>
      <c r="P114">
        <v>2</v>
      </c>
      <c r="Q114" t="s">
        <v>472</v>
      </c>
      <c r="R114" s="101">
        <f>IF(Table1[[#This Row],[Size (S, M, L)]]="S",2,IF(Table1[[#This Row],[Size (S, M, L)]]="L",1,4))</f>
        <v>2</v>
      </c>
      <c r="S114" t="s">
        <v>485</v>
      </c>
      <c r="T114" s="101">
        <f>IF(Table1[[#This Row],[TZone]]="EST",4,IF(Table1[[#This Row],[TZone]]="CST",3,IF(Table1[[#This Row],[TZone]]="MST",2,1)))</f>
        <v>1</v>
      </c>
      <c r="U114" t="s">
        <v>463</v>
      </c>
      <c r="V114" s="101">
        <f>IF(Table1[[#This Row],[Low-cost office?]]="Yes",-4,0)</f>
        <v>0</v>
      </c>
    </row>
    <row r="115" spans="1:22" x14ac:dyDescent="0.55000000000000004">
      <c r="A115" t="s">
        <v>555</v>
      </c>
      <c r="B11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5" t="s">
        <v>469</v>
      </c>
      <c r="D115" s="95" t="s">
        <v>470</v>
      </c>
      <c r="E115" s="95" t="s">
        <v>460</v>
      </c>
      <c r="F115" s="95" t="s">
        <v>470</v>
      </c>
      <c r="G115" s="95" t="s">
        <v>470</v>
      </c>
      <c r="H115" s="95" t="s">
        <v>470</v>
      </c>
      <c r="I115" s="95" t="s">
        <v>470</v>
      </c>
      <c r="J115" s="99">
        <f>IF(Table1[[#This Row],[CIV]]="⮽",0,1)*1.5</f>
        <v>0</v>
      </c>
      <c r="K115" s="99">
        <f>IF(Table1[[#This Row],[ARC]]="⮽",0,1)*3</f>
        <v>3</v>
      </c>
      <c r="L115" s="99">
        <f>IF(Table1[[#This Row],[STR]]="⮽",0,1)*2</f>
        <v>0</v>
      </c>
      <c r="M115" s="99">
        <f>IF(Table1[[#This Row],[MP]]="⮽",0,1)</f>
        <v>0</v>
      </c>
      <c r="N115" s="99">
        <f>IF(Table1[[#This Row],[ELE]]="⮽",0,1)</f>
        <v>0</v>
      </c>
      <c r="O115" s="99">
        <f>IF(Table1[[#This Row],[FP]]="⮽",0,1)</f>
        <v>0</v>
      </c>
      <c r="P115">
        <v>1</v>
      </c>
      <c r="Q115" t="s">
        <v>472</v>
      </c>
      <c r="R115" s="101">
        <f>IF(Table1[[#This Row],[Size (S, M, L)]]="S",2,IF(Table1[[#This Row],[Size (S, M, L)]]="L",1,4))</f>
        <v>2</v>
      </c>
      <c r="S115" t="s">
        <v>465</v>
      </c>
      <c r="T115" s="101">
        <f>IF(Table1[[#This Row],[TZone]]="EST",4,IF(Table1[[#This Row],[TZone]]="CST",3,IF(Table1[[#This Row],[TZone]]="MST",2,1)))</f>
        <v>3</v>
      </c>
      <c r="U115" t="s">
        <v>463</v>
      </c>
      <c r="V115" s="101">
        <f>IF(Table1[[#This Row],[Low-cost office?]]="Yes",-4,0)</f>
        <v>0</v>
      </c>
    </row>
    <row r="116" spans="1:22" x14ac:dyDescent="0.55000000000000004">
      <c r="A116" t="s">
        <v>556</v>
      </c>
      <c r="B11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6" t="s">
        <v>469</v>
      </c>
      <c r="D116" s="95" t="s">
        <v>470</v>
      </c>
      <c r="E116" s="95" t="s">
        <v>460</v>
      </c>
      <c r="F116" s="95" t="s">
        <v>470</v>
      </c>
      <c r="G116" s="95" t="s">
        <v>470</v>
      </c>
      <c r="H116" s="95" t="s">
        <v>470</v>
      </c>
      <c r="I116" s="95" t="s">
        <v>470</v>
      </c>
      <c r="J116" s="99">
        <f>IF(Table1[[#This Row],[CIV]]="⮽",0,1)*1.5</f>
        <v>0</v>
      </c>
      <c r="K116" s="99">
        <f>IF(Table1[[#This Row],[ARC]]="⮽",0,1)*3</f>
        <v>3</v>
      </c>
      <c r="L116" s="99">
        <f>IF(Table1[[#This Row],[STR]]="⮽",0,1)*2</f>
        <v>0</v>
      </c>
      <c r="M116" s="99">
        <f>IF(Table1[[#This Row],[MP]]="⮽",0,1)</f>
        <v>0</v>
      </c>
      <c r="N116" s="99">
        <f>IF(Table1[[#This Row],[ELE]]="⮽",0,1)</f>
        <v>0</v>
      </c>
      <c r="O116" s="99">
        <f>IF(Table1[[#This Row],[FP]]="⮽",0,1)</f>
        <v>0</v>
      </c>
      <c r="P116">
        <v>2</v>
      </c>
      <c r="Q116" t="s">
        <v>472</v>
      </c>
      <c r="R116" s="101">
        <f>IF(Table1[[#This Row],[Size (S, M, L)]]="S",2,IF(Table1[[#This Row],[Size (S, M, L)]]="L",1,4))</f>
        <v>2</v>
      </c>
      <c r="S116" t="s">
        <v>485</v>
      </c>
      <c r="T116" s="101">
        <f>IF(Table1[[#This Row],[TZone]]="EST",4,IF(Table1[[#This Row],[TZone]]="CST",3,IF(Table1[[#This Row],[TZone]]="MST",2,1)))</f>
        <v>1</v>
      </c>
      <c r="U116" t="s">
        <v>463</v>
      </c>
      <c r="V116" s="101">
        <f>IF(Table1[[#This Row],[Low-cost office?]]="Yes",-4,0)</f>
        <v>0</v>
      </c>
    </row>
    <row r="117" spans="1:22" x14ac:dyDescent="0.55000000000000004">
      <c r="A117" t="s">
        <v>557</v>
      </c>
      <c r="B11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7" t="s">
        <v>469</v>
      </c>
      <c r="D117" s="94" t="s">
        <v>470</v>
      </c>
      <c r="E117" s="95" t="s">
        <v>460</v>
      </c>
      <c r="F117" s="94" t="s">
        <v>470</v>
      </c>
      <c r="G117" s="94" t="s">
        <v>470</v>
      </c>
      <c r="H117" s="94" t="s">
        <v>470</v>
      </c>
      <c r="I117" s="94" t="s">
        <v>470</v>
      </c>
      <c r="J117" s="98">
        <f>IF(Table1[[#This Row],[CIV]]="⮽",0,1)*1.5</f>
        <v>0</v>
      </c>
      <c r="K117" s="98">
        <f>IF(Table1[[#This Row],[ARC]]="⮽",0,1)*3</f>
        <v>3</v>
      </c>
      <c r="L117" s="98">
        <f>IF(Table1[[#This Row],[STR]]="⮽",0,1)*2</f>
        <v>0</v>
      </c>
      <c r="M117" s="98">
        <f>IF(Table1[[#This Row],[MP]]="⮽",0,1)</f>
        <v>0</v>
      </c>
      <c r="N117" s="98">
        <f>IF(Table1[[#This Row],[ELE]]="⮽",0,1)</f>
        <v>0</v>
      </c>
      <c r="O117" s="98">
        <f>IF(Table1[[#This Row],[FP]]="⮽",0,1)</f>
        <v>0</v>
      </c>
      <c r="P117">
        <v>2</v>
      </c>
      <c r="Q117" t="s">
        <v>472</v>
      </c>
      <c r="R117" s="101">
        <f>IF(Table1[[#This Row],[Size (S, M, L)]]="S",2,IF(Table1[[#This Row],[Size (S, M, L)]]="L",1,4))</f>
        <v>2</v>
      </c>
      <c r="S117" t="s">
        <v>485</v>
      </c>
      <c r="T117" s="101">
        <f>IF(Table1[[#This Row],[TZone]]="EST",4,IF(Table1[[#This Row],[TZone]]="CST",3,IF(Table1[[#This Row],[TZone]]="MST",2,1)))</f>
        <v>1</v>
      </c>
      <c r="U117" t="s">
        <v>463</v>
      </c>
      <c r="V117" s="101">
        <f>IF(Table1[[#This Row],[Low-cost office?]]="Yes",-4,0)</f>
        <v>0</v>
      </c>
    </row>
    <row r="118" spans="1:22" x14ac:dyDescent="0.55000000000000004">
      <c r="A118" t="s">
        <v>558</v>
      </c>
      <c r="B11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8" t="s">
        <v>469</v>
      </c>
      <c r="D118" s="94" t="s">
        <v>470</v>
      </c>
      <c r="E118" s="95" t="s">
        <v>460</v>
      </c>
      <c r="F118" s="94" t="s">
        <v>470</v>
      </c>
      <c r="G118" s="94" t="s">
        <v>470</v>
      </c>
      <c r="H118" s="94" t="s">
        <v>470</v>
      </c>
      <c r="I118" s="94" t="s">
        <v>470</v>
      </c>
      <c r="J118" s="98">
        <f>IF(Table1[[#This Row],[CIV]]="⮽",0,1)*1.5</f>
        <v>0</v>
      </c>
      <c r="K118" s="98">
        <f>IF(Table1[[#This Row],[ARC]]="⮽",0,1)*3</f>
        <v>3</v>
      </c>
      <c r="L118" s="98">
        <f>IF(Table1[[#This Row],[STR]]="⮽",0,1)*2</f>
        <v>0</v>
      </c>
      <c r="M118" s="98">
        <f>IF(Table1[[#This Row],[MP]]="⮽",0,1)</f>
        <v>0</v>
      </c>
      <c r="N118" s="98">
        <f>IF(Table1[[#This Row],[ELE]]="⮽",0,1)</f>
        <v>0</v>
      </c>
      <c r="O118" s="98">
        <f>IF(Table1[[#This Row],[FP]]="⮽",0,1)</f>
        <v>0</v>
      </c>
      <c r="P118">
        <v>2</v>
      </c>
      <c r="Q118" t="s">
        <v>472</v>
      </c>
      <c r="R118" s="101">
        <f>IF(Table1[[#This Row],[Size (S, M, L)]]="S",2,IF(Table1[[#This Row],[Size (S, M, L)]]="L",1,4))</f>
        <v>2</v>
      </c>
      <c r="S118" t="s">
        <v>485</v>
      </c>
      <c r="T118" s="101">
        <f>IF(Table1[[#This Row],[TZone]]="EST",4,IF(Table1[[#This Row],[TZone]]="CST",3,IF(Table1[[#This Row],[TZone]]="MST",2,1)))</f>
        <v>1</v>
      </c>
      <c r="U118" t="s">
        <v>463</v>
      </c>
      <c r="V118" s="101">
        <f>IF(Table1[[#This Row],[Low-cost office?]]="Yes",-4,0)</f>
        <v>0</v>
      </c>
    </row>
    <row r="119" spans="1:22" x14ac:dyDescent="0.55000000000000004">
      <c r="A119" t="s">
        <v>559</v>
      </c>
      <c r="B11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9" t="s">
        <v>464</v>
      </c>
      <c r="D119" s="95" t="s">
        <v>470</v>
      </c>
      <c r="E119" s="94" t="s">
        <v>460</v>
      </c>
      <c r="F119" s="95" t="s">
        <v>470</v>
      </c>
      <c r="G119" s="95" t="s">
        <v>470</v>
      </c>
      <c r="H119" s="95" t="s">
        <v>470</v>
      </c>
      <c r="I119" s="95" t="s">
        <v>470</v>
      </c>
      <c r="J119" s="99">
        <f>IF(Table1[[#This Row],[CIV]]="⮽",0,1)*1.5</f>
        <v>0</v>
      </c>
      <c r="K119" s="99">
        <f>IF(Table1[[#This Row],[ARC]]="⮽",0,1)*3</f>
        <v>3</v>
      </c>
      <c r="L119" s="99">
        <f>IF(Table1[[#This Row],[STR]]="⮽",0,1)*2</f>
        <v>0</v>
      </c>
      <c r="M119" s="99">
        <f>IF(Table1[[#This Row],[MP]]="⮽",0,1)</f>
        <v>0</v>
      </c>
      <c r="N119" s="99">
        <f>IF(Table1[[#This Row],[ELE]]="⮽",0,1)</f>
        <v>0</v>
      </c>
      <c r="O119" s="99">
        <f>IF(Table1[[#This Row],[FP]]="⮽",0,1)</f>
        <v>0</v>
      </c>
      <c r="P119">
        <v>2</v>
      </c>
      <c r="Q119" t="s">
        <v>472</v>
      </c>
      <c r="R119" s="101">
        <f>IF(Table1[[#This Row],[Size (S, M, L)]]="S",2,IF(Table1[[#This Row],[Size (S, M, L)]]="L",1,4))</f>
        <v>2</v>
      </c>
      <c r="S119" t="s">
        <v>485</v>
      </c>
      <c r="T119" s="101">
        <f>IF(Table1[[#This Row],[TZone]]="EST",4,IF(Table1[[#This Row],[TZone]]="CST",3,IF(Table1[[#This Row],[TZone]]="MST",2,1)))</f>
        <v>1</v>
      </c>
      <c r="U119" t="s">
        <v>463</v>
      </c>
      <c r="V119" s="101">
        <f>IF(Table1[[#This Row],[Low-cost office?]]="Yes",-4,0)</f>
        <v>0</v>
      </c>
    </row>
    <row r="120" spans="1:22" x14ac:dyDescent="0.55000000000000004">
      <c r="A120" t="s">
        <v>560</v>
      </c>
      <c r="B12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0" t="s">
        <v>469</v>
      </c>
      <c r="D120" s="95" t="s">
        <v>470</v>
      </c>
      <c r="E120" s="95" t="s">
        <v>470</v>
      </c>
      <c r="F120" s="95" t="s">
        <v>470</v>
      </c>
      <c r="G120" s="95" t="s">
        <v>470</v>
      </c>
      <c r="H120" s="95" t="s">
        <v>470</v>
      </c>
      <c r="I120" s="95" t="s">
        <v>470</v>
      </c>
      <c r="J120" s="99">
        <f>IF(Table1[[#This Row],[CIV]]="⮽",0,1)*1.5</f>
        <v>0</v>
      </c>
      <c r="K120" s="99">
        <f>IF(Table1[[#This Row],[ARC]]="⮽",0,1)*3</f>
        <v>0</v>
      </c>
      <c r="L120" s="99">
        <f>IF(Table1[[#This Row],[STR]]="⮽",0,1)*2</f>
        <v>0</v>
      </c>
      <c r="M120" s="99">
        <f>IF(Table1[[#This Row],[MP]]="⮽",0,1)</f>
        <v>0</v>
      </c>
      <c r="N120" s="99">
        <f>IF(Table1[[#This Row],[ELE]]="⮽",0,1)</f>
        <v>0</v>
      </c>
      <c r="O120" s="99">
        <f>IF(Table1[[#This Row],[FP]]="⮽",0,1)</f>
        <v>0</v>
      </c>
      <c r="P120">
        <v>2</v>
      </c>
      <c r="Q120" t="s">
        <v>472</v>
      </c>
      <c r="R120" s="101">
        <f>IF(Table1[[#This Row],[Size (S, M, L)]]="S",2,IF(Table1[[#This Row],[Size (S, M, L)]]="L",1,4))</f>
        <v>2</v>
      </c>
      <c r="S120" t="s">
        <v>462</v>
      </c>
      <c r="T120" s="101">
        <f>IF(Table1[[#This Row],[TZone]]="EST",4,IF(Table1[[#This Row],[TZone]]="CST",3,IF(Table1[[#This Row],[TZone]]="MST",2,1)))</f>
        <v>4</v>
      </c>
      <c r="U120" t="s">
        <v>463</v>
      </c>
      <c r="V120" s="101">
        <f>IF(Table1[[#This Row],[Low-cost office?]]="Yes",-4,0)</f>
        <v>0</v>
      </c>
    </row>
    <row r="121" spans="1:22" x14ac:dyDescent="0.55000000000000004">
      <c r="A121" t="s">
        <v>561</v>
      </c>
      <c r="B12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1" t="s">
        <v>469</v>
      </c>
      <c r="D121" s="95" t="s">
        <v>470</v>
      </c>
      <c r="E121" s="94" t="s">
        <v>460</v>
      </c>
      <c r="F121" s="95" t="s">
        <v>470</v>
      </c>
      <c r="G121" s="95" t="s">
        <v>470</v>
      </c>
      <c r="H121" s="95" t="s">
        <v>470</v>
      </c>
      <c r="I121" s="95" t="s">
        <v>470</v>
      </c>
      <c r="J121" s="99">
        <f>IF(Table1[[#This Row],[CIV]]="⮽",0,1)*1.5</f>
        <v>0</v>
      </c>
      <c r="K121" s="99">
        <f>IF(Table1[[#This Row],[ARC]]="⮽",0,1)*3</f>
        <v>3</v>
      </c>
      <c r="L121" s="99">
        <f>IF(Table1[[#This Row],[STR]]="⮽",0,1)*2</f>
        <v>0</v>
      </c>
      <c r="M121" s="99">
        <f>IF(Table1[[#This Row],[MP]]="⮽",0,1)</f>
        <v>0</v>
      </c>
      <c r="N121" s="99">
        <f>IF(Table1[[#This Row],[ELE]]="⮽",0,1)</f>
        <v>0</v>
      </c>
      <c r="O121" s="99">
        <f>IF(Table1[[#This Row],[FP]]="⮽",0,1)</f>
        <v>0</v>
      </c>
      <c r="P121">
        <v>3</v>
      </c>
      <c r="Q121" t="s">
        <v>461</v>
      </c>
      <c r="R121" s="101">
        <f>IF(Table1[[#This Row],[Size (S, M, L)]]="S",2,IF(Table1[[#This Row],[Size (S, M, L)]]="L",1,4))</f>
        <v>4</v>
      </c>
      <c r="S121" t="s">
        <v>485</v>
      </c>
      <c r="T121" s="101">
        <f>IF(Table1[[#This Row],[TZone]]="EST",4,IF(Table1[[#This Row],[TZone]]="CST",3,IF(Table1[[#This Row],[TZone]]="MST",2,1)))</f>
        <v>1</v>
      </c>
      <c r="U121" t="s">
        <v>479</v>
      </c>
      <c r="V121" s="101">
        <f>IF(Table1[[#This Row],[Low-cost office?]]="Yes",-4,0)</f>
        <v>-4</v>
      </c>
    </row>
    <row r="122" spans="1:22" x14ac:dyDescent="0.55000000000000004">
      <c r="A122" t="s">
        <v>562</v>
      </c>
      <c r="B12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2" t="s">
        <v>469</v>
      </c>
      <c r="D122" s="95" t="s">
        <v>470</v>
      </c>
      <c r="E122" s="94" t="s">
        <v>460</v>
      </c>
      <c r="F122" s="95" t="s">
        <v>470</v>
      </c>
      <c r="G122" s="95" t="s">
        <v>470</v>
      </c>
      <c r="H122" s="95" t="s">
        <v>470</v>
      </c>
      <c r="I122" s="95" t="s">
        <v>470</v>
      </c>
      <c r="J122" s="99">
        <f>IF(Table1[[#This Row],[CIV]]="⮽",0,1)*1.5</f>
        <v>0</v>
      </c>
      <c r="K122" s="99">
        <f>IF(Table1[[#This Row],[ARC]]="⮽",0,1)*3</f>
        <v>3</v>
      </c>
      <c r="L122" s="99">
        <f>IF(Table1[[#This Row],[STR]]="⮽",0,1)*2</f>
        <v>0</v>
      </c>
      <c r="M122" s="99">
        <f>IF(Table1[[#This Row],[MP]]="⮽",0,1)</f>
        <v>0</v>
      </c>
      <c r="N122" s="99">
        <f>IF(Table1[[#This Row],[ELE]]="⮽",0,1)</f>
        <v>0</v>
      </c>
      <c r="O122" s="99">
        <f>IF(Table1[[#This Row],[FP]]="⮽",0,1)</f>
        <v>0</v>
      </c>
      <c r="P122">
        <v>2</v>
      </c>
      <c r="Q122" t="s">
        <v>472</v>
      </c>
      <c r="R122" s="101">
        <f>IF(Table1[[#This Row],[Size (S, M, L)]]="S",2,IF(Table1[[#This Row],[Size (S, M, L)]]="L",1,4))</f>
        <v>2</v>
      </c>
      <c r="S122" t="s">
        <v>485</v>
      </c>
      <c r="T122" s="101">
        <f>IF(Table1[[#This Row],[TZone]]="EST",4,IF(Table1[[#This Row],[TZone]]="CST",3,IF(Table1[[#This Row],[TZone]]="MST",2,1)))</f>
        <v>1</v>
      </c>
      <c r="U122" t="s">
        <v>463</v>
      </c>
      <c r="V122" s="101">
        <f>IF(Table1[[#This Row],[Low-cost office?]]="Yes",-4,0)</f>
        <v>0</v>
      </c>
    </row>
    <row r="123" spans="1:22" x14ac:dyDescent="0.55000000000000004">
      <c r="A123" t="s">
        <v>563</v>
      </c>
      <c r="B12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3" t="s">
        <v>469</v>
      </c>
      <c r="D123" s="95" t="s">
        <v>470</v>
      </c>
      <c r="E123" s="94" t="s">
        <v>460</v>
      </c>
      <c r="F123" s="95" t="s">
        <v>470</v>
      </c>
      <c r="G123" s="95" t="s">
        <v>470</v>
      </c>
      <c r="H123" s="95" t="s">
        <v>470</v>
      </c>
      <c r="I123" s="95" t="s">
        <v>470</v>
      </c>
      <c r="J123" s="99">
        <f>IF(Table1[[#This Row],[CIV]]="⮽",0,1)*1.5</f>
        <v>0</v>
      </c>
      <c r="K123" s="99">
        <f>IF(Table1[[#This Row],[ARC]]="⮽",0,1)*3</f>
        <v>3</v>
      </c>
      <c r="L123" s="99">
        <f>IF(Table1[[#This Row],[STR]]="⮽",0,1)*2</f>
        <v>0</v>
      </c>
      <c r="M123" s="99">
        <f>IF(Table1[[#This Row],[MP]]="⮽",0,1)</f>
        <v>0</v>
      </c>
      <c r="N123" s="99">
        <f>IF(Table1[[#This Row],[ELE]]="⮽",0,1)</f>
        <v>0</v>
      </c>
      <c r="O123" s="99">
        <f>IF(Table1[[#This Row],[FP]]="⮽",0,1)</f>
        <v>0</v>
      </c>
      <c r="P123">
        <v>1</v>
      </c>
      <c r="Q123" t="s">
        <v>472</v>
      </c>
      <c r="R123" s="101">
        <f>IF(Table1[[#This Row],[Size (S, M, L)]]="S",2,IF(Table1[[#This Row],[Size (S, M, L)]]="L",1,4))</f>
        <v>2</v>
      </c>
      <c r="S123" t="s">
        <v>465</v>
      </c>
      <c r="T123" s="101">
        <f>IF(Table1[[#This Row],[TZone]]="EST",4,IF(Table1[[#This Row],[TZone]]="CST",3,IF(Table1[[#This Row],[TZone]]="MST",2,1)))</f>
        <v>3</v>
      </c>
      <c r="U123" t="s">
        <v>463</v>
      </c>
      <c r="V123" s="101">
        <f>IF(Table1[[#This Row],[Low-cost office?]]="Yes",-4,0)</f>
        <v>0</v>
      </c>
    </row>
    <row r="124" spans="1:22" x14ac:dyDescent="0.55000000000000004">
      <c r="A124" t="s">
        <v>564</v>
      </c>
      <c r="B12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4" t="s">
        <v>469</v>
      </c>
      <c r="D124" s="95" t="s">
        <v>470</v>
      </c>
      <c r="E124" s="94" t="s">
        <v>460</v>
      </c>
      <c r="F124" s="95" t="s">
        <v>470</v>
      </c>
      <c r="G124" s="95" t="s">
        <v>470</v>
      </c>
      <c r="H124" s="95" t="s">
        <v>470</v>
      </c>
      <c r="I124" s="95" t="s">
        <v>470</v>
      </c>
      <c r="J124" s="99">
        <f>IF(Table1[[#This Row],[CIV]]="⮽",0,1)*1.5</f>
        <v>0</v>
      </c>
      <c r="K124" s="99">
        <f>IF(Table1[[#This Row],[ARC]]="⮽",0,1)*3</f>
        <v>3</v>
      </c>
      <c r="L124" s="99">
        <f>IF(Table1[[#This Row],[STR]]="⮽",0,1)*2</f>
        <v>0</v>
      </c>
      <c r="M124" s="99">
        <f>IF(Table1[[#This Row],[MP]]="⮽",0,1)</f>
        <v>0</v>
      </c>
      <c r="N124" s="99">
        <f>IF(Table1[[#This Row],[ELE]]="⮽",0,1)</f>
        <v>0</v>
      </c>
      <c r="O124" s="99">
        <f>IF(Table1[[#This Row],[FP]]="⮽",0,1)</f>
        <v>0</v>
      </c>
      <c r="P124">
        <v>1</v>
      </c>
      <c r="Q124" t="s">
        <v>472</v>
      </c>
      <c r="R124" s="101">
        <f>IF(Table1[[#This Row],[Size (S, M, L)]]="S",2,IF(Table1[[#This Row],[Size (S, M, L)]]="L",1,4))</f>
        <v>2</v>
      </c>
      <c r="S124" t="s">
        <v>465</v>
      </c>
      <c r="T124" s="101">
        <f>IF(Table1[[#This Row],[TZone]]="EST",4,IF(Table1[[#This Row],[TZone]]="CST",3,IF(Table1[[#This Row],[TZone]]="MST",2,1)))</f>
        <v>3</v>
      </c>
      <c r="U124" t="s">
        <v>463</v>
      </c>
      <c r="V124" s="101">
        <f>IF(Table1[[#This Row],[Low-cost office?]]="Yes",-4,0)</f>
        <v>0</v>
      </c>
    </row>
    <row r="125" spans="1:22" x14ac:dyDescent="0.55000000000000004">
      <c r="A125" t="s">
        <v>351</v>
      </c>
      <c r="B12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5" t="s">
        <v>469</v>
      </c>
      <c r="D125" s="95" t="s">
        <v>470</v>
      </c>
      <c r="E125" s="94" t="s">
        <v>460</v>
      </c>
      <c r="F125" s="95" t="s">
        <v>470</v>
      </c>
      <c r="G125" s="95" t="s">
        <v>470</v>
      </c>
      <c r="H125" s="95" t="s">
        <v>470</v>
      </c>
      <c r="I125" s="95" t="s">
        <v>470</v>
      </c>
      <c r="J125" s="99">
        <f>IF(Table1[[#This Row],[CIV]]="⮽",0,1)*1.5</f>
        <v>0</v>
      </c>
      <c r="K125" s="99">
        <f>IF(Table1[[#This Row],[ARC]]="⮽",0,1)*3</f>
        <v>3</v>
      </c>
      <c r="L125" s="99">
        <f>IF(Table1[[#This Row],[STR]]="⮽",0,1)*2</f>
        <v>0</v>
      </c>
      <c r="M125" s="99">
        <f>IF(Table1[[#This Row],[MP]]="⮽",0,1)</f>
        <v>0</v>
      </c>
      <c r="N125" s="99">
        <f>IF(Table1[[#This Row],[ELE]]="⮽",0,1)</f>
        <v>0</v>
      </c>
      <c r="O125" s="99">
        <f>IF(Table1[[#This Row],[FP]]="⮽",0,1)</f>
        <v>0</v>
      </c>
      <c r="P125">
        <v>1</v>
      </c>
      <c r="Q125" t="s">
        <v>475</v>
      </c>
      <c r="R125" s="101">
        <f>IF(Table1[[#This Row],[Size (S, M, L)]]="S",2,IF(Table1[[#This Row],[Size (S, M, L)]]="L",1,4))</f>
        <v>1</v>
      </c>
      <c r="S125" t="s">
        <v>462</v>
      </c>
      <c r="T125" s="101">
        <f>IF(Table1[[#This Row],[TZone]]="EST",4,IF(Table1[[#This Row],[TZone]]="CST",3,IF(Table1[[#This Row],[TZone]]="MST",2,1)))</f>
        <v>4</v>
      </c>
      <c r="U125" t="s">
        <v>463</v>
      </c>
      <c r="V125" s="101">
        <f>IF(Table1[[#This Row],[Low-cost office?]]="Yes",-4,0)</f>
        <v>0</v>
      </c>
    </row>
    <row r="126" spans="1:22" x14ac:dyDescent="0.55000000000000004">
      <c r="A126" t="s">
        <v>565</v>
      </c>
      <c r="B12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6" t="s">
        <v>469</v>
      </c>
      <c r="D126" s="95" t="s">
        <v>470</v>
      </c>
      <c r="E126" s="94" t="s">
        <v>460</v>
      </c>
      <c r="F126" s="95" t="s">
        <v>470</v>
      </c>
      <c r="G126" s="95" t="s">
        <v>470</v>
      </c>
      <c r="H126" s="95" t="s">
        <v>470</v>
      </c>
      <c r="I126" s="95" t="s">
        <v>470</v>
      </c>
      <c r="J126" s="99">
        <f>IF(Table1[[#This Row],[CIV]]="⮽",0,1)*1.5</f>
        <v>0</v>
      </c>
      <c r="K126" s="99">
        <f>IF(Table1[[#This Row],[ARC]]="⮽",0,1)*3</f>
        <v>3</v>
      </c>
      <c r="L126" s="99">
        <f>IF(Table1[[#This Row],[STR]]="⮽",0,1)*2</f>
        <v>0</v>
      </c>
      <c r="M126" s="99">
        <f>IF(Table1[[#This Row],[MP]]="⮽",0,1)</f>
        <v>0</v>
      </c>
      <c r="N126" s="99">
        <f>IF(Table1[[#This Row],[ELE]]="⮽",0,1)</f>
        <v>0</v>
      </c>
      <c r="O126" s="99">
        <f>IF(Table1[[#This Row],[FP]]="⮽",0,1)</f>
        <v>0</v>
      </c>
      <c r="P126">
        <v>1</v>
      </c>
      <c r="Q126" t="s">
        <v>461</v>
      </c>
      <c r="R126" s="101">
        <f>IF(Table1[[#This Row],[Size (S, M, L)]]="S",2,IF(Table1[[#This Row],[Size (S, M, L)]]="L",1,4))</f>
        <v>4</v>
      </c>
      <c r="S126" t="s">
        <v>485</v>
      </c>
      <c r="T126" s="101">
        <f>IF(Table1[[#This Row],[TZone]]="EST",4,IF(Table1[[#This Row],[TZone]]="CST",3,IF(Table1[[#This Row],[TZone]]="MST",2,1)))</f>
        <v>1</v>
      </c>
      <c r="U126" t="s">
        <v>463</v>
      </c>
      <c r="V126" s="101">
        <f>IF(Table1[[#This Row],[Low-cost office?]]="Yes",-4,0)</f>
        <v>0</v>
      </c>
    </row>
    <row r="127" spans="1:22" x14ac:dyDescent="0.55000000000000004">
      <c r="A127" t="s">
        <v>566</v>
      </c>
      <c r="B12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7" t="s">
        <v>469</v>
      </c>
      <c r="D127" s="95" t="s">
        <v>470</v>
      </c>
      <c r="E127" s="94" t="s">
        <v>460</v>
      </c>
      <c r="F127" s="95" t="s">
        <v>470</v>
      </c>
      <c r="G127" s="95" t="s">
        <v>470</v>
      </c>
      <c r="H127" s="95" t="s">
        <v>470</v>
      </c>
      <c r="I127" s="95" t="s">
        <v>470</v>
      </c>
      <c r="J127" s="99">
        <f>IF(Table1[[#This Row],[CIV]]="⮽",0,1)*1.5</f>
        <v>0</v>
      </c>
      <c r="K127" s="99">
        <f>IF(Table1[[#This Row],[ARC]]="⮽",0,1)*3</f>
        <v>3</v>
      </c>
      <c r="L127" s="99">
        <f>IF(Table1[[#This Row],[STR]]="⮽",0,1)*2</f>
        <v>0</v>
      </c>
      <c r="M127" s="99">
        <f>IF(Table1[[#This Row],[MP]]="⮽",0,1)</f>
        <v>0</v>
      </c>
      <c r="N127" s="99">
        <f>IF(Table1[[#This Row],[ELE]]="⮽",0,1)</f>
        <v>0</v>
      </c>
      <c r="O127" s="99">
        <f>IF(Table1[[#This Row],[FP]]="⮽",0,1)</f>
        <v>0</v>
      </c>
      <c r="P127">
        <v>2</v>
      </c>
      <c r="Q127" t="s">
        <v>472</v>
      </c>
      <c r="R127" s="101">
        <f>IF(Table1[[#This Row],[Size (S, M, L)]]="S",2,IF(Table1[[#This Row],[Size (S, M, L)]]="L",1,4))</f>
        <v>2</v>
      </c>
      <c r="S127" t="s">
        <v>485</v>
      </c>
      <c r="T127" s="101">
        <f>IF(Table1[[#This Row],[TZone]]="EST",4,IF(Table1[[#This Row],[TZone]]="CST",3,IF(Table1[[#This Row],[TZone]]="MST",2,1)))</f>
        <v>1</v>
      </c>
      <c r="U127" t="s">
        <v>463</v>
      </c>
      <c r="V127" s="101">
        <f>IF(Table1[[#This Row],[Low-cost office?]]="Yes",-4,0)</f>
        <v>0</v>
      </c>
    </row>
    <row r="128" spans="1:22" x14ac:dyDescent="0.55000000000000004">
      <c r="A128" t="s">
        <v>567</v>
      </c>
      <c r="B12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9.5</v>
      </c>
      <c r="C128" t="s">
        <v>469</v>
      </c>
      <c r="D128" s="95" t="s">
        <v>460</v>
      </c>
      <c r="E128" s="95" t="s">
        <v>470</v>
      </c>
      <c r="F128" s="95" t="s">
        <v>470</v>
      </c>
      <c r="G128" s="95" t="s">
        <v>470</v>
      </c>
      <c r="H128" s="95" t="s">
        <v>470</v>
      </c>
      <c r="I128" s="95" t="s">
        <v>470</v>
      </c>
      <c r="J128" s="99">
        <f>IF(Table1[[#This Row],[CIV]]="⮽",0,1)*1.5</f>
        <v>1.5</v>
      </c>
      <c r="K128" s="99">
        <f>IF(Table1[[#This Row],[ARC]]="⮽",0,1)*3</f>
        <v>0</v>
      </c>
      <c r="L128" s="99">
        <f>IF(Table1[[#This Row],[STR]]="⮽",0,1)*2</f>
        <v>0</v>
      </c>
      <c r="M128" s="99">
        <f>IF(Table1[[#This Row],[MP]]="⮽",0,1)</f>
        <v>0</v>
      </c>
      <c r="N128" s="99">
        <f>IF(Table1[[#This Row],[ELE]]="⮽",0,1)</f>
        <v>0</v>
      </c>
      <c r="O128" s="99">
        <f>IF(Table1[[#This Row],[FP]]="⮽",0,1)</f>
        <v>0</v>
      </c>
      <c r="P128">
        <v>1</v>
      </c>
      <c r="Q128" t="s">
        <v>472</v>
      </c>
      <c r="R128" s="101">
        <f>IF(Table1[[#This Row],[Size (S, M, L)]]="S",2,IF(Table1[[#This Row],[Size (S, M, L)]]="L",1,4))</f>
        <v>2</v>
      </c>
      <c r="S128" t="s">
        <v>462</v>
      </c>
      <c r="T128" s="101">
        <f>IF(Table1[[#This Row],[TZone]]="EST",4,IF(Table1[[#This Row],[TZone]]="CST",3,IF(Table1[[#This Row],[TZone]]="MST",2,1)))</f>
        <v>4</v>
      </c>
      <c r="U128" t="s">
        <v>463</v>
      </c>
      <c r="V128" s="101">
        <f>IF(Table1[[#This Row],[Low-cost office?]]="Yes",-4,0)</f>
        <v>0</v>
      </c>
    </row>
    <row r="129" spans="1:22" x14ac:dyDescent="0.55000000000000004">
      <c r="A129" t="s">
        <v>568</v>
      </c>
      <c r="B12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9.5</v>
      </c>
      <c r="C129" t="s">
        <v>469</v>
      </c>
      <c r="D129" s="94" t="s">
        <v>460</v>
      </c>
      <c r="E129" s="95" t="s">
        <v>470</v>
      </c>
      <c r="F129" s="94" t="s">
        <v>460</v>
      </c>
      <c r="G129" s="95" t="s">
        <v>470</v>
      </c>
      <c r="H129" s="95" t="s">
        <v>470</v>
      </c>
      <c r="I129" s="95" t="s">
        <v>470</v>
      </c>
      <c r="J129" s="99">
        <f>IF(Table1[[#This Row],[CIV]]="⮽",0,1)*1.5</f>
        <v>1.5</v>
      </c>
      <c r="K129" s="99">
        <f>IF(Table1[[#This Row],[ARC]]="⮽",0,1)*3</f>
        <v>0</v>
      </c>
      <c r="L129" s="99">
        <f>IF(Table1[[#This Row],[STR]]="⮽",0,1)*2</f>
        <v>2</v>
      </c>
      <c r="M129" s="99">
        <f>IF(Table1[[#This Row],[MP]]="⮽",0,1)</f>
        <v>0</v>
      </c>
      <c r="N129" s="99">
        <f>IF(Table1[[#This Row],[ELE]]="⮽",0,1)</f>
        <v>0</v>
      </c>
      <c r="O129" s="99">
        <f>IF(Table1[[#This Row],[FP]]="⮽",0,1)</f>
        <v>0</v>
      </c>
      <c r="P129">
        <v>1</v>
      </c>
      <c r="Q129" t="s">
        <v>472</v>
      </c>
      <c r="R129" s="101">
        <f>IF(Table1[[#This Row],[Size (S, M, L)]]="S",2,IF(Table1[[#This Row],[Size (S, M, L)]]="L",1,4))</f>
        <v>2</v>
      </c>
      <c r="S129" t="s">
        <v>473</v>
      </c>
      <c r="T129" s="101">
        <f>IF(Table1[[#This Row],[TZone]]="EST",4,IF(Table1[[#This Row],[TZone]]="CST",3,IF(Table1[[#This Row],[TZone]]="MST",2,1)))</f>
        <v>2</v>
      </c>
      <c r="U129" t="s">
        <v>463</v>
      </c>
      <c r="V129" s="101">
        <f>IF(Table1[[#This Row],[Low-cost office?]]="Yes",-4,0)</f>
        <v>0</v>
      </c>
    </row>
    <row r="130" spans="1:22" x14ac:dyDescent="0.55000000000000004">
      <c r="A130" t="s">
        <v>569</v>
      </c>
      <c r="B13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9.5</v>
      </c>
      <c r="C130" t="s">
        <v>469</v>
      </c>
      <c r="D130" s="94" t="s">
        <v>460</v>
      </c>
      <c r="E130" s="95" t="s">
        <v>470</v>
      </c>
      <c r="F130" s="94" t="s">
        <v>460</v>
      </c>
      <c r="G130" s="95" t="s">
        <v>470</v>
      </c>
      <c r="H130" s="95" t="s">
        <v>470</v>
      </c>
      <c r="I130" s="95" t="s">
        <v>470</v>
      </c>
      <c r="J130" s="99">
        <f>IF(Table1[[#This Row],[CIV]]="⮽",0,1)*1.5</f>
        <v>1.5</v>
      </c>
      <c r="K130" s="99">
        <f>IF(Table1[[#This Row],[ARC]]="⮽",0,1)*3</f>
        <v>0</v>
      </c>
      <c r="L130" s="99">
        <f>IF(Table1[[#This Row],[STR]]="⮽",0,1)*2</f>
        <v>2</v>
      </c>
      <c r="M130" s="99">
        <f>IF(Table1[[#This Row],[MP]]="⮽",0,1)</f>
        <v>0</v>
      </c>
      <c r="N130" s="99">
        <f>IF(Table1[[#This Row],[ELE]]="⮽",0,1)</f>
        <v>0</v>
      </c>
      <c r="O130" s="99">
        <f>IF(Table1[[#This Row],[FP]]="⮽",0,1)</f>
        <v>0</v>
      </c>
      <c r="P130">
        <v>1</v>
      </c>
      <c r="Q130" t="s">
        <v>475</v>
      </c>
      <c r="R130" s="101">
        <f>IF(Table1[[#This Row],[Size (S, M, L)]]="S",2,IF(Table1[[#This Row],[Size (S, M, L)]]="L",1,4))</f>
        <v>1</v>
      </c>
      <c r="S130" t="s">
        <v>465</v>
      </c>
      <c r="T130" s="101">
        <f>IF(Table1[[#This Row],[TZone]]="EST",4,IF(Table1[[#This Row],[TZone]]="CST",3,IF(Table1[[#This Row],[TZone]]="MST",2,1)))</f>
        <v>3</v>
      </c>
      <c r="U130" t="s">
        <v>463</v>
      </c>
      <c r="V130" s="101">
        <f>IF(Table1[[#This Row],[Low-cost office?]]="Yes",-4,0)</f>
        <v>0</v>
      </c>
    </row>
    <row r="131" spans="1:22" x14ac:dyDescent="0.55000000000000004">
      <c r="A131" t="s">
        <v>570</v>
      </c>
      <c r="B13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</v>
      </c>
      <c r="C131" t="s">
        <v>469</v>
      </c>
      <c r="D131" s="95" t="s">
        <v>470</v>
      </c>
      <c r="E131" s="94" t="s">
        <v>460</v>
      </c>
      <c r="F131" s="95" t="s">
        <v>470</v>
      </c>
      <c r="G131" s="95" t="s">
        <v>470</v>
      </c>
      <c r="H131" s="95" t="s">
        <v>470</v>
      </c>
      <c r="I131" s="95" t="s">
        <v>470</v>
      </c>
      <c r="J131" s="99">
        <f>IF(Table1[[#This Row],[CIV]]="⮽",0,1)*1.5</f>
        <v>0</v>
      </c>
      <c r="K131" s="99">
        <f>IF(Table1[[#This Row],[ARC]]="⮽",0,1)*3</f>
        <v>3</v>
      </c>
      <c r="L131" s="99">
        <f>IF(Table1[[#This Row],[STR]]="⮽",0,1)*2</f>
        <v>0</v>
      </c>
      <c r="M131" s="99">
        <f>IF(Table1[[#This Row],[MP]]="⮽",0,1)</f>
        <v>0</v>
      </c>
      <c r="N131" s="99">
        <f>IF(Table1[[#This Row],[ELE]]="⮽",0,1)</f>
        <v>0</v>
      </c>
      <c r="O131" s="99">
        <f>IF(Table1[[#This Row],[FP]]="⮽",0,1)</f>
        <v>0</v>
      </c>
      <c r="P131">
        <v>1</v>
      </c>
      <c r="Q131" t="s">
        <v>461</v>
      </c>
      <c r="R131" s="101">
        <f>IF(Table1[[#This Row],[Size (S, M, L)]]="S",2,IF(Table1[[#This Row],[Size (S, M, L)]]="L",1,4))</f>
        <v>4</v>
      </c>
      <c r="S131" t="s">
        <v>462</v>
      </c>
      <c r="T131" s="101">
        <f>IF(Table1[[#This Row],[TZone]]="EST",4,IF(Table1[[#This Row],[TZone]]="CST",3,IF(Table1[[#This Row],[TZone]]="MST",2,1)))</f>
        <v>4</v>
      </c>
      <c r="U131" t="s">
        <v>479</v>
      </c>
      <c r="V131" s="101">
        <f>IF(Table1[[#This Row],[Low-cost office?]]="Yes",-4,0)</f>
        <v>-4</v>
      </c>
    </row>
    <row r="132" spans="1:22" x14ac:dyDescent="0.55000000000000004">
      <c r="A132" t="s">
        <v>571</v>
      </c>
      <c r="B13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</v>
      </c>
      <c r="C132" t="s">
        <v>469</v>
      </c>
      <c r="D132" s="95" t="s">
        <v>470</v>
      </c>
      <c r="E132" s="95" t="s">
        <v>460</v>
      </c>
      <c r="F132" s="95" t="s">
        <v>470</v>
      </c>
      <c r="G132" s="95" t="s">
        <v>470</v>
      </c>
      <c r="H132" s="95" t="s">
        <v>470</v>
      </c>
      <c r="I132" s="95" t="s">
        <v>470</v>
      </c>
      <c r="J132" s="99">
        <f>IF(Table1[[#This Row],[CIV]]="⮽",0,1)*1.5</f>
        <v>0</v>
      </c>
      <c r="K132" s="99">
        <f>IF(Table1[[#This Row],[ARC]]="⮽",0,1)*3</f>
        <v>3</v>
      </c>
      <c r="L132" s="99">
        <f>IF(Table1[[#This Row],[STR]]="⮽",0,1)*2</f>
        <v>0</v>
      </c>
      <c r="M132" s="99">
        <f>IF(Table1[[#This Row],[MP]]="⮽",0,1)</f>
        <v>0</v>
      </c>
      <c r="N132" s="99">
        <f>IF(Table1[[#This Row],[ELE]]="⮽",0,1)</f>
        <v>0</v>
      </c>
      <c r="O132" s="99">
        <f>IF(Table1[[#This Row],[FP]]="⮽",0,1)</f>
        <v>0</v>
      </c>
      <c r="P132">
        <v>1</v>
      </c>
      <c r="Q132" t="s">
        <v>472</v>
      </c>
      <c r="R132" s="101">
        <f>IF(Table1[[#This Row],[Size (S, M, L)]]="S",2,IF(Table1[[#This Row],[Size (S, M, L)]]="L",1,4))</f>
        <v>2</v>
      </c>
      <c r="S132" t="s">
        <v>473</v>
      </c>
      <c r="T132" s="101">
        <f>IF(Table1[[#This Row],[TZone]]="EST",4,IF(Table1[[#This Row],[TZone]]="CST",3,IF(Table1[[#This Row],[TZone]]="MST",2,1)))</f>
        <v>2</v>
      </c>
      <c r="U132" t="s">
        <v>463</v>
      </c>
      <c r="V132" s="101">
        <f>IF(Table1[[#This Row],[Low-cost office?]]="Yes",-4,0)</f>
        <v>0</v>
      </c>
    </row>
    <row r="133" spans="1:22" x14ac:dyDescent="0.55000000000000004">
      <c r="A133" t="s">
        <v>572</v>
      </c>
      <c r="B13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</v>
      </c>
      <c r="C133" t="s">
        <v>469</v>
      </c>
      <c r="D133" s="95" t="s">
        <v>470</v>
      </c>
      <c r="E133" s="95" t="s">
        <v>470</v>
      </c>
      <c r="F133" s="95" t="s">
        <v>470</v>
      </c>
      <c r="G133" s="94" t="s">
        <v>460</v>
      </c>
      <c r="H133" s="94" t="s">
        <v>460</v>
      </c>
      <c r="I133" s="95" t="s">
        <v>470</v>
      </c>
      <c r="J133" s="99">
        <f>IF(Table1[[#This Row],[CIV]]="⮽",0,1)*1.5</f>
        <v>0</v>
      </c>
      <c r="K133" s="99">
        <f>IF(Table1[[#This Row],[ARC]]="⮽",0,1)*3</f>
        <v>0</v>
      </c>
      <c r="L133" s="99">
        <f>IF(Table1[[#This Row],[STR]]="⮽",0,1)*2</f>
        <v>0</v>
      </c>
      <c r="M133" s="99">
        <f>IF(Table1[[#This Row],[MP]]="⮽",0,1)</f>
        <v>1</v>
      </c>
      <c r="N133" s="99">
        <f>IF(Table1[[#This Row],[ELE]]="⮽",0,1)</f>
        <v>1</v>
      </c>
      <c r="O133" s="99">
        <f>IF(Table1[[#This Row],[FP]]="⮽",0,1)</f>
        <v>0</v>
      </c>
      <c r="P133">
        <v>1</v>
      </c>
      <c r="Q133" t="s">
        <v>472</v>
      </c>
      <c r="R133" s="101">
        <f>IF(Table1[[#This Row],[Size (S, M, L)]]="S",2,IF(Table1[[#This Row],[Size (S, M, L)]]="L",1,4))</f>
        <v>2</v>
      </c>
      <c r="S133" t="s">
        <v>465</v>
      </c>
      <c r="T133" s="101">
        <f>IF(Table1[[#This Row],[TZone]]="EST",4,IF(Table1[[#This Row],[TZone]]="CST",3,IF(Table1[[#This Row],[TZone]]="MST",2,1)))</f>
        <v>3</v>
      </c>
      <c r="U133" t="s">
        <v>463</v>
      </c>
      <c r="V133" s="101">
        <f>IF(Table1[[#This Row],[Low-cost office?]]="Yes",-4,0)</f>
        <v>0</v>
      </c>
    </row>
    <row r="134" spans="1:22" x14ac:dyDescent="0.55000000000000004">
      <c r="A134" t="s">
        <v>573</v>
      </c>
      <c r="B13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</v>
      </c>
      <c r="C134" t="s">
        <v>469</v>
      </c>
      <c r="D134" s="95" t="s">
        <v>470</v>
      </c>
      <c r="E134" s="94" t="s">
        <v>460</v>
      </c>
      <c r="F134" s="95" t="s">
        <v>470</v>
      </c>
      <c r="G134" s="95" t="s">
        <v>470</v>
      </c>
      <c r="H134" s="95" t="s">
        <v>470</v>
      </c>
      <c r="I134" s="95" t="s">
        <v>470</v>
      </c>
      <c r="J134" s="99">
        <f>IF(Table1[[#This Row],[CIV]]="⮽",0,1)*1.5</f>
        <v>0</v>
      </c>
      <c r="K134" s="99">
        <f>IF(Table1[[#This Row],[ARC]]="⮽",0,1)*3</f>
        <v>3</v>
      </c>
      <c r="L134" s="99">
        <f>IF(Table1[[#This Row],[STR]]="⮽",0,1)*2</f>
        <v>0</v>
      </c>
      <c r="M134" s="99">
        <f>IF(Table1[[#This Row],[MP]]="⮽",0,1)</f>
        <v>0</v>
      </c>
      <c r="N134" s="99">
        <f>IF(Table1[[#This Row],[ELE]]="⮽",0,1)</f>
        <v>0</v>
      </c>
      <c r="O134" s="99">
        <f>IF(Table1[[#This Row],[FP]]="⮽",0,1)</f>
        <v>0</v>
      </c>
      <c r="P134">
        <v>1</v>
      </c>
      <c r="Q134" t="s">
        <v>475</v>
      </c>
      <c r="R134" s="101">
        <f>IF(Table1[[#This Row],[Size (S, M, L)]]="S",2,IF(Table1[[#This Row],[Size (S, M, L)]]="L",1,4))</f>
        <v>1</v>
      </c>
      <c r="S134" t="s">
        <v>465</v>
      </c>
      <c r="T134" s="101">
        <f>IF(Table1[[#This Row],[TZone]]="EST",4,IF(Table1[[#This Row],[TZone]]="CST",3,IF(Table1[[#This Row],[TZone]]="MST",2,1)))</f>
        <v>3</v>
      </c>
      <c r="U134" t="s">
        <v>463</v>
      </c>
      <c r="V134" s="101">
        <f>IF(Table1[[#This Row],[Low-cost office?]]="Yes",-4,0)</f>
        <v>0</v>
      </c>
    </row>
    <row r="135" spans="1:22" x14ac:dyDescent="0.55000000000000004">
      <c r="A135" t="s">
        <v>574</v>
      </c>
      <c r="B13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</v>
      </c>
      <c r="C135" t="s">
        <v>469</v>
      </c>
      <c r="D135" s="95" t="s">
        <v>470</v>
      </c>
      <c r="E135" s="95" t="s">
        <v>470</v>
      </c>
      <c r="F135" s="94" t="s">
        <v>460</v>
      </c>
      <c r="G135" s="95" t="s">
        <v>470</v>
      </c>
      <c r="H135" s="95" t="s">
        <v>470</v>
      </c>
      <c r="I135" s="95" t="s">
        <v>470</v>
      </c>
      <c r="J135" s="99">
        <f>IF(Table1[[#This Row],[CIV]]="⮽",0,1)*1.5</f>
        <v>0</v>
      </c>
      <c r="K135" s="99">
        <f>IF(Table1[[#This Row],[ARC]]="⮽",0,1)*3</f>
        <v>0</v>
      </c>
      <c r="L135" s="99">
        <f>IF(Table1[[#This Row],[STR]]="⮽",0,1)*2</f>
        <v>2</v>
      </c>
      <c r="M135" s="99">
        <f>IF(Table1[[#This Row],[MP]]="⮽",0,1)</f>
        <v>0</v>
      </c>
      <c r="N135" s="99">
        <f>IF(Table1[[#This Row],[ELE]]="⮽",0,1)</f>
        <v>0</v>
      </c>
      <c r="O135" s="99">
        <f>IF(Table1[[#This Row],[FP]]="⮽",0,1)</f>
        <v>0</v>
      </c>
      <c r="P135">
        <v>1</v>
      </c>
      <c r="Q135" t="s">
        <v>472</v>
      </c>
      <c r="R135" s="101">
        <f>IF(Table1[[#This Row],[Size (S, M, L)]]="S",2,IF(Table1[[#This Row],[Size (S, M, L)]]="L",1,4))</f>
        <v>2</v>
      </c>
      <c r="S135" t="s">
        <v>465</v>
      </c>
      <c r="T135" s="101">
        <f>IF(Table1[[#This Row],[TZone]]="EST",4,IF(Table1[[#This Row],[TZone]]="CST",3,IF(Table1[[#This Row],[TZone]]="MST",2,1)))</f>
        <v>3</v>
      </c>
      <c r="U135" t="s">
        <v>463</v>
      </c>
      <c r="V135" s="101">
        <f>IF(Table1[[#This Row],[Low-cost office?]]="Yes",-4,0)</f>
        <v>0</v>
      </c>
    </row>
    <row r="136" spans="1:22" x14ac:dyDescent="0.55000000000000004">
      <c r="A136" t="s">
        <v>575</v>
      </c>
      <c r="B13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36" t="s">
        <v>469</v>
      </c>
      <c r="D136" s="95" t="s">
        <v>460</v>
      </c>
      <c r="E136" s="95" t="s">
        <v>470</v>
      </c>
      <c r="F136" s="95" t="s">
        <v>470</v>
      </c>
      <c r="G136" s="95" t="s">
        <v>470</v>
      </c>
      <c r="H136" s="95" t="s">
        <v>470</v>
      </c>
      <c r="I136" s="95" t="s">
        <v>470</v>
      </c>
      <c r="J136" s="99">
        <f>IF(Table1[[#This Row],[CIV]]="⮽",0,1)*1.5</f>
        <v>1.5</v>
      </c>
      <c r="K136" s="99">
        <f>IF(Table1[[#This Row],[ARC]]="⮽",0,1)*3</f>
        <v>0</v>
      </c>
      <c r="L136" s="99">
        <f>IF(Table1[[#This Row],[STR]]="⮽",0,1)*2</f>
        <v>0</v>
      </c>
      <c r="M136" s="99">
        <f>IF(Table1[[#This Row],[MP]]="⮽",0,1)</f>
        <v>0</v>
      </c>
      <c r="N136" s="99">
        <f>IF(Table1[[#This Row],[ELE]]="⮽",0,1)</f>
        <v>0</v>
      </c>
      <c r="O136" s="99">
        <f>IF(Table1[[#This Row],[FP]]="⮽",0,1)</f>
        <v>0</v>
      </c>
      <c r="P136">
        <v>2</v>
      </c>
      <c r="Q136" t="s">
        <v>472</v>
      </c>
      <c r="R136" s="101">
        <f>IF(Table1[[#This Row],[Size (S, M, L)]]="S",2,IF(Table1[[#This Row],[Size (S, M, L)]]="L",1,4))</f>
        <v>2</v>
      </c>
      <c r="S136" t="s">
        <v>485</v>
      </c>
      <c r="T136" s="101">
        <f>IF(Table1[[#This Row],[TZone]]="EST",4,IF(Table1[[#This Row],[TZone]]="CST",3,IF(Table1[[#This Row],[TZone]]="MST",2,1)))</f>
        <v>1</v>
      </c>
      <c r="U136" t="s">
        <v>463</v>
      </c>
      <c r="V136" s="101">
        <f>IF(Table1[[#This Row],[Low-cost office?]]="Yes",-4,0)</f>
        <v>0</v>
      </c>
    </row>
    <row r="137" spans="1:22" x14ac:dyDescent="0.55000000000000004">
      <c r="A137" t="s">
        <v>576</v>
      </c>
      <c r="B13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37" t="s">
        <v>469</v>
      </c>
      <c r="D137" s="95" t="s">
        <v>460</v>
      </c>
      <c r="E137" s="95" t="s">
        <v>470</v>
      </c>
      <c r="F137" s="95" t="s">
        <v>460</v>
      </c>
      <c r="G137" s="95" t="s">
        <v>470</v>
      </c>
      <c r="H137" s="95" t="s">
        <v>470</v>
      </c>
      <c r="I137" s="95" t="s">
        <v>470</v>
      </c>
      <c r="J137" s="99">
        <f>IF(Table1[[#This Row],[CIV]]="⮽",0,1)*1.5</f>
        <v>1.5</v>
      </c>
      <c r="K137" s="99">
        <f>IF(Table1[[#This Row],[ARC]]="⮽",0,1)*3</f>
        <v>0</v>
      </c>
      <c r="L137" s="99">
        <f>IF(Table1[[#This Row],[STR]]="⮽",0,1)*2</f>
        <v>2</v>
      </c>
      <c r="M137" s="99">
        <f>IF(Table1[[#This Row],[MP]]="⮽",0,1)</f>
        <v>0</v>
      </c>
      <c r="N137" s="99">
        <f>IF(Table1[[#This Row],[ELE]]="⮽",0,1)</f>
        <v>0</v>
      </c>
      <c r="O137" s="99">
        <f>IF(Table1[[#This Row],[FP]]="⮽",0,1)</f>
        <v>0</v>
      </c>
      <c r="P137">
        <v>1</v>
      </c>
      <c r="Q137" t="s">
        <v>472</v>
      </c>
      <c r="R137" s="101">
        <f>IF(Table1[[#This Row],[Size (S, M, L)]]="S",2,IF(Table1[[#This Row],[Size (S, M, L)]]="L",1,4))</f>
        <v>2</v>
      </c>
      <c r="S137" t="s">
        <v>485</v>
      </c>
      <c r="T137" s="101">
        <f>IF(Table1[[#This Row],[TZone]]="EST",4,IF(Table1[[#This Row],[TZone]]="CST",3,IF(Table1[[#This Row],[TZone]]="MST",2,1)))</f>
        <v>1</v>
      </c>
      <c r="U137" t="s">
        <v>463</v>
      </c>
      <c r="V137" s="101">
        <f>IF(Table1[[#This Row],[Low-cost office?]]="Yes",-4,0)</f>
        <v>0</v>
      </c>
    </row>
    <row r="138" spans="1:22" x14ac:dyDescent="0.55000000000000004">
      <c r="A138" t="s">
        <v>577</v>
      </c>
      <c r="B13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38" t="s">
        <v>469</v>
      </c>
      <c r="D138" s="95" t="s">
        <v>460</v>
      </c>
      <c r="E138" s="94" t="s">
        <v>470</v>
      </c>
      <c r="F138" s="94" t="s">
        <v>470</v>
      </c>
      <c r="G138" s="94" t="s">
        <v>470</v>
      </c>
      <c r="H138" s="94" t="s">
        <v>470</v>
      </c>
      <c r="I138" s="94" t="s">
        <v>470</v>
      </c>
      <c r="J138" s="98">
        <f>IF(Table1[[#This Row],[CIV]]="⮽",0,1)*1.5</f>
        <v>1.5</v>
      </c>
      <c r="K138" s="98">
        <f>IF(Table1[[#This Row],[ARC]]="⮽",0,1)*3</f>
        <v>0</v>
      </c>
      <c r="L138" s="98">
        <f>IF(Table1[[#This Row],[STR]]="⮽",0,1)*2</f>
        <v>0</v>
      </c>
      <c r="M138" s="98">
        <f>IF(Table1[[#This Row],[MP]]="⮽",0,1)</f>
        <v>0</v>
      </c>
      <c r="N138" s="98">
        <f>IF(Table1[[#This Row],[ELE]]="⮽",0,1)</f>
        <v>0</v>
      </c>
      <c r="O138" s="98">
        <f>IF(Table1[[#This Row],[FP]]="⮽",0,1)</f>
        <v>0</v>
      </c>
      <c r="P138">
        <v>1</v>
      </c>
      <c r="Q138" t="s">
        <v>461</v>
      </c>
      <c r="R138" s="101">
        <f>IF(Table1[[#This Row],[Size (S, M, L)]]="S",2,IF(Table1[[#This Row],[Size (S, M, L)]]="L",1,4))</f>
        <v>4</v>
      </c>
      <c r="S138" t="s">
        <v>485</v>
      </c>
      <c r="T138" s="101">
        <f>IF(Table1[[#This Row],[TZone]]="EST",4,IF(Table1[[#This Row],[TZone]]="CST",3,IF(Table1[[#This Row],[TZone]]="MST",2,1)))</f>
        <v>1</v>
      </c>
      <c r="U138" t="s">
        <v>463</v>
      </c>
      <c r="V138" s="101">
        <f>IF(Table1[[#This Row],[Low-cost office?]]="Yes",-4,0)</f>
        <v>0</v>
      </c>
    </row>
    <row r="139" spans="1:22" x14ac:dyDescent="0.55000000000000004">
      <c r="A139" t="s">
        <v>578</v>
      </c>
      <c r="B13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39" t="s">
        <v>469</v>
      </c>
      <c r="D139" s="94" t="s">
        <v>460</v>
      </c>
      <c r="E139" s="95" t="s">
        <v>470</v>
      </c>
      <c r="F139" s="95" t="s">
        <v>470</v>
      </c>
      <c r="G139" s="95" t="s">
        <v>470</v>
      </c>
      <c r="H139" s="95" t="s">
        <v>470</v>
      </c>
      <c r="I139" s="95" t="s">
        <v>470</v>
      </c>
      <c r="J139" s="99">
        <f>IF(Table1[[#This Row],[CIV]]="⮽",0,1)*1.5</f>
        <v>1.5</v>
      </c>
      <c r="K139" s="99">
        <f>IF(Table1[[#This Row],[ARC]]="⮽",0,1)*3</f>
        <v>0</v>
      </c>
      <c r="L139" s="99">
        <f>IF(Table1[[#This Row],[STR]]="⮽",0,1)*2</f>
        <v>0</v>
      </c>
      <c r="M139" s="99">
        <f>IF(Table1[[#This Row],[MP]]="⮽",0,1)</f>
        <v>0</v>
      </c>
      <c r="N139" s="99">
        <f>IF(Table1[[#This Row],[ELE]]="⮽",0,1)</f>
        <v>0</v>
      </c>
      <c r="O139" s="99">
        <f>IF(Table1[[#This Row],[FP]]="⮽",0,1)</f>
        <v>0</v>
      </c>
      <c r="P139">
        <v>1</v>
      </c>
      <c r="Q139" t="s">
        <v>472</v>
      </c>
      <c r="R139" s="101">
        <f>IF(Table1[[#This Row],[Size (S, M, L)]]="S",2,IF(Table1[[#This Row],[Size (S, M, L)]]="L",1,4))</f>
        <v>2</v>
      </c>
      <c r="S139" t="s">
        <v>465</v>
      </c>
      <c r="T139" s="101">
        <f>IF(Table1[[#This Row],[TZone]]="EST",4,IF(Table1[[#This Row],[TZone]]="CST",3,IF(Table1[[#This Row],[TZone]]="MST",2,1)))</f>
        <v>3</v>
      </c>
      <c r="U139" t="s">
        <v>463</v>
      </c>
      <c r="V139" s="101">
        <f>IF(Table1[[#This Row],[Low-cost office?]]="Yes",-4,0)</f>
        <v>0</v>
      </c>
    </row>
    <row r="140" spans="1:22" x14ac:dyDescent="0.55000000000000004">
      <c r="A140" t="s">
        <v>579</v>
      </c>
      <c r="B14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40" t="s">
        <v>464</v>
      </c>
      <c r="D140" s="94" t="s">
        <v>460</v>
      </c>
      <c r="E140" s="95" t="s">
        <v>470</v>
      </c>
      <c r="F140" s="94" t="s">
        <v>460</v>
      </c>
      <c r="G140" s="95" t="s">
        <v>470</v>
      </c>
      <c r="H140" s="95" t="s">
        <v>470</v>
      </c>
      <c r="I140" s="95" t="s">
        <v>470</v>
      </c>
      <c r="J140" s="99">
        <f>IF(Table1[[#This Row],[CIV]]="⮽",0,1)*1.5</f>
        <v>1.5</v>
      </c>
      <c r="K140" s="99">
        <f>IF(Table1[[#This Row],[ARC]]="⮽",0,1)*3</f>
        <v>0</v>
      </c>
      <c r="L140" s="99">
        <f>IF(Table1[[#This Row],[STR]]="⮽",0,1)*2</f>
        <v>2</v>
      </c>
      <c r="M140" s="99">
        <f>IF(Table1[[#This Row],[MP]]="⮽",0,1)</f>
        <v>0</v>
      </c>
      <c r="N140" s="99">
        <f>IF(Table1[[#This Row],[ELE]]="⮽",0,1)</f>
        <v>0</v>
      </c>
      <c r="O140" s="99">
        <f>IF(Table1[[#This Row],[FP]]="⮽",0,1)</f>
        <v>0</v>
      </c>
      <c r="P140">
        <v>1</v>
      </c>
      <c r="Q140" t="s">
        <v>472</v>
      </c>
      <c r="R140" s="101">
        <f>IF(Table1[[#This Row],[Size (S, M, L)]]="S",2,IF(Table1[[#This Row],[Size (S, M, L)]]="L",1,4))</f>
        <v>2</v>
      </c>
      <c r="S140" t="s">
        <v>485</v>
      </c>
      <c r="T140" s="101">
        <f>IF(Table1[[#This Row],[TZone]]="EST",4,IF(Table1[[#This Row],[TZone]]="CST",3,IF(Table1[[#This Row],[TZone]]="MST",2,1)))</f>
        <v>1</v>
      </c>
      <c r="U140" t="s">
        <v>463</v>
      </c>
      <c r="V140" s="101">
        <f>IF(Table1[[#This Row],[Low-cost office?]]="Yes",-4,0)</f>
        <v>0</v>
      </c>
    </row>
    <row r="141" spans="1:22" x14ac:dyDescent="0.55000000000000004">
      <c r="A141" t="s">
        <v>580</v>
      </c>
      <c r="B14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41" t="s">
        <v>469</v>
      </c>
      <c r="D141" s="94" t="s">
        <v>460</v>
      </c>
      <c r="E141" s="95" t="s">
        <v>470</v>
      </c>
      <c r="F141" s="95" t="s">
        <v>470</v>
      </c>
      <c r="G141" s="95" t="s">
        <v>470</v>
      </c>
      <c r="H141" s="95" t="s">
        <v>470</v>
      </c>
      <c r="I141" s="95" t="s">
        <v>470</v>
      </c>
      <c r="J141" s="99">
        <f>IF(Table1[[#This Row],[CIV]]="⮽",0,1)*1.5</f>
        <v>1.5</v>
      </c>
      <c r="K141" s="99">
        <f>IF(Table1[[#This Row],[ARC]]="⮽",0,1)*3</f>
        <v>0</v>
      </c>
      <c r="L141" s="99">
        <f>IF(Table1[[#This Row],[STR]]="⮽",0,1)*2</f>
        <v>0</v>
      </c>
      <c r="M141" s="99">
        <f>IF(Table1[[#This Row],[MP]]="⮽",0,1)</f>
        <v>0</v>
      </c>
      <c r="N141" s="99">
        <f>IF(Table1[[#This Row],[ELE]]="⮽",0,1)</f>
        <v>0</v>
      </c>
      <c r="O141" s="99">
        <f>IF(Table1[[#This Row],[FP]]="⮽",0,1)</f>
        <v>0</v>
      </c>
      <c r="P141">
        <v>1</v>
      </c>
      <c r="Q141" t="s">
        <v>472</v>
      </c>
      <c r="R141" s="101">
        <f>IF(Table1[[#This Row],[Size (S, M, L)]]="S",2,IF(Table1[[#This Row],[Size (S, M, L)]]="L",1,4))</f>
        <v>2</v>
      </c>
      <c r="S141" t="s">
        <v>465</v>
      </c>
      <c r="T141" s="101">
        <f>IF(Table1[[#This Row],[TZone]]="EST",4,IF(Table1[[#This Row],[TZone]]="CST",3,IF(Table1[[#This Row],[TZone]]="MST",2,1)))</f>
        <v>3</v>
      </c>
      <c r="U141" t="s">
        <v>463</v>
      </c>
      <c r="V141" s="101">
        <f>IF(Table1[[#This Row],[Low-cost office?]]="Yes",-4,0)</f>
        <v>0</v>
      </c>
    </row>
    <row r="142" spans="1:22" x14ac:dyDescent="0.55000000000000004">
      <c r="A142" t="s">
        <v>581</v>
      </c>
      <c r="B14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42" t="s">
        <v>469</v>
      </c>
      <c r="D142" s="94" t="s">
        <v>460</v>
      </c>
      <c r="E142" s="95" t="s">
        <v>470</v>
      </c>
      <c r="F142" s="95" t="s">
        <v>470</v>
      </c>
      <c r="G142" s="95" t="s">
        <v>470</v>
      </c>
      <c r="H142" s="95" t="s">
        <v>470</v>
      </c>
      <c r="I142" s="95" t="s">
        <v>470</v>
      </c>
      <c r="J142" s="99">
        <f>IF(Table1[[#This Row],[CIV]]="⮽",0,1)*1.5</f>
        <v>1.5</v>
      </c>
      <c r="K142" s="99">
        <f>IF(Table1[[#This Row],[ARC]]="⮽",0,1)*3</f>
        <v>0</v>
      </c>
      <c r="L142" s="99">
        <f>IF(Table1[[#This Row],[STR]]="⮽",0,1)*2</f>
        <v>0</v>
      </c>
      <c r="M142" s="99">
        <f>IF(Table1[[#This Row],[MP]]="⮽",0,1)</f>
        <v>0</v>
      </c>
      <c r="N142" s="99">
        <f>IF(Table1[[#This Row],[ELE]]="⮽",0,1)</f>
        <v>0</v>
      </c>
      <c r="O142" s="99">
        <f>IF(Table1[[#This Row],[FP]]="⮽",0,1)</f>
        <v>0</v>
      </c>
      <c r="P142">
        <v>1</v>
      </c>
      <c r="Q142" t="s">
        <v>475</v>
      </c>
      <c r="R142" s="101">
        <f>IF(Table1[[#This Row],[Size (S, M, L)]]="S",2,IF(Table1[[#This Row],[Size (S, M, L)]]="L",1,4))</f>
        <v>1</v>
      </c>
      <c r="S142" t="s">
        <v>462</v>
      </c>
      <c r="T142" s="101">
        <f>IF(Table1[[#This Row],[TZone]]="EST",4,IF(Table1[[#This Row],[TZone]]="CST",3,IF(Table1[[#This Row],[TZone]]="MST",2,1)))</f>
        <v>4</v>
      </c>
      <c r="U142" t="s">
        <v>463</v>
      </c>
      <c r="V142" s="101">
        <f>IF(Table1[[#This Row],[Low-cost office?]]="Yes",-4,0)</f>
        <v>0</v>
      </c>
    </row>
    <row r="143" spans="1:22" x14ac:dyDescent="0.55000000000000004">
      <c r="A143" t="s">
        <v>582</v>
      </c>
      <c r="B14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43" t="s">
        <v>469</v>
      </c>
      <c r="D143" s="94" t="s">
        <v>460</v>
      </c>
      <c r="E143" s="95" t="s">
        <v>470</v>
      </c>
      <c r="F143" s="95" t="s">
        <v>470</v>
      </c>
      <c r="G143" s="95" t="s">
        <v>470</v>
      </c>
      <c r="H143" s="95" t="s">
        <v>470</v>
      </c>
      <c r="I143" s="95" t="s">
        <v>470</v>
      </c>
      <c r="J143" s="99">
        <f>IF(Table1[[#This Row],[CIV]]="⮽",0,1)*1.5</f>
        <v>1.5</v>
      </c>
      <c r="K143" s="99">
        <f>IF(Table1[[#This Row],[ARC]]="⮽",0,1)*3</f>
        <v>0</v>
      </c>
      <c r="L143" s="99">
        <f>IF(Table1[[#This Row],[STR]]="⮽",0,1)*2</f>
        <v>0</v>
      </c>
      <c r="M143" s="99">
        <f>IF(Table1[[#This Row],[MP]]="⮽",0,1)</f>
        <v>0</v>
      </c>
      <c r="N143" s="99">
        <f>IF(Table1[[#This Row],[ELE]]="⮽",0,1)</f>
        <v>0</v>
      </c>
      <c r="O143" s="99">
        <f>IF(Table1[[#This Row],[FP]]="⮽",0,1)</f>
        <v>0</v>
      </c>
      <c r="P143">
        <v>1</v>
      </c>
      <c r="Q143" t="s">
        <v>475</v>
      </c>
      <c r="R143" s="101">
        <f>IF(Table1[[#This Row],[Size (S, M, L)]]="S",2,IF(Table1[[#This Row],[Size (S, M, L)]]="L",1,4))</f>
        <v>1</v>
      </c>
      <c r="S143" t="s">
        <v>462</v>
      </c>
      <c r="T143" s="101">
        <f>IF(Table1[[#This Row],[TZone]]="EST",4,IF(Table1[[#This Row],[TZone]]="CST",3,IF(Table1[[#This Row],[TZone]]="MST",2,1)))</f>
        <v>4</v>
      </c>
      <c r="U143" t="s">
        <v>463</v>
      </c>
      <c r="V143" s="101">
        <f>IF(Table1[[#This Row],[Low-cost office?]]="Yes",-4,0)</f>
        <v>0</v>
      </c>
    </row>
    <row r="144" spans="1:22" x14ac:dyDescent="0.55000000000000004">
      <c r="A144" t="s">
        <v>583</v>
      </c>
      <c r="B14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4" t="s">
        <v>469</v>
      </c>
      <c r="D144" s="95" t="s">
        <v>470</v>
      </c>
      <c r="E144" s="95" t="s">
        <v>460</v>
      </c>
      <c r="F144" s="95" t="s">
        <v>470</v>
      </c>
      <c r="G144" s="95" t="s">
        <v>470</v>
      </c>
      <c r="H144" s="95" t="s">
        <v>470</v>
      </c>
      <c r="I144" s="95" t="s">
        <v>470</v>
      </c>
      <c r="J144" s="99">
        <f>IF(Table1[[#This Row],[CIV]]="⮽",0,1)*1.5</f>
        <v>0</v>
      </c>
      <c r="K144" s="99">
        <f>IF(Table1[[#This Row],[ARC]]="⮽",0,1)*3</f>
        <v>3</v>
      </c>
      <c r="L144" s="99">
        <f>IF(Table1[[#This Row],[STR]]="⮽",0,1)*2</f>
        <v>0</v>
      </c>
      <c r="M144" s="99">
        <f>IF(Table1[[#This Row],[MP]]="⮽",0,1)</f>
        <v>0</v>
      </c>
      <c r="N144" s="99">
        <f>IF(Table1[[#This Row],[ELE]]="⮽",0,1)</f>
        <v>0</v>
      </c>
      <c r="O144" s="99">
        <f>IF(Table1[[#This Row],[FP]]="⮽",0,1)</f>
        <v>0</v>
      </c>
      <c r="P144">
        <v>1</v>
      </c>
      <c r="Q144" t="s">
        <v>472</v>
      </c>
      <c r="R144" s="101">
        <f>IF(Table1[[#This Row],[Size (S, M, L)]]="S",2,IF(Table1[[#This Row],[Size (S, M, L)]]="L",1,4))</f>
        <v>2</v>
      </c>
      <c r="S144" t="s">
        <v>485</v>
      </c>
      <c r="T144" s="101">
        <f>IF(Table1[[#This Row],[TZone]]="EST",4,IF(Table1[[#This Row],[TZone]]="CST",3,IF(Table1[[#This Row],[TZone]]="MST",2,1)))</f>
        <v>1</v>
      </c>
      <c r="U144" t="s">
        <v>463</v>
      </c>
      <c r="V144" s="101">
        <f>IF(Table1[[#This Row],[Low-cost office?]]="Yes",-4,0)</f>
        <v>0</v>
      </c>
    </row>
    <row r="145" spans="1:22" x14ac:dyDescent="0.55000000000000004">
      <c r="A145" t="s">
        <v>584</v>
      </c>
      <c r="B14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5" t="s">
        <v>138</v>
      </c>
      <c r="D145" s="95" t="s">
        <v>470</v>
      </c>
      <c r="E145" s="95" t="s">
        <v>470</v>
      </c>
      <c r="F145" s="95" t="s">
        <v>470</v>
      </c>
      <c r="G145" s="95" t="s">
        <v>470</v>
      </c>
      <c r="H145" s="95" t="s">
        <v>470</v>
      </c>
      <c r="I145" s="95" t="s">
        <v>470</v>
      </c>
      <c r="J145" s="99">
        <f>IF(Table1[[#This Row],[CIV]]="⮽",0,1)*1.5</f>
        <v>0</v>
      </c>
      <c r="K145" s="99">
        <f>IF(Table1[[#This Row],[ARC]]="⮽",0,1)*3</f>
        <v>0</v>
      </c>
      <c r="L145" s="99">
        <f>IF(Table1[[#This Row],[STR]]="⮽",0,1)*2</f>
        <v>0</v>
      </c>
      <c r="M145" s="99">
        <f>IF(Table1[[#This Row],[MP]]="⮽",0,1)</f>
        <v>0</v>
      </c>
      <c r="N145" s="99">
        <f>IF(Table1[[#This Row],[ELE]]="⮽",0,1)</f>
        <v>0</v>
      </c>
      <c r="O145" s="99">
        <f>IF(Table1[[#This Row],[FP]]="⮽",0,1)</f>
        <v>0</v>
      </c>
      <c r="P145">
        <v>1</v>
      </c>
      <c r="Q145" t="s">
        <v>472</v>
      </c>
      <c r="R145" s="101">
        <f>IF(Table1[[#This Row],[Size (S, M, L)]]="S",2,IF(Table1[[#This Row],[Size (S, M, L)]]="L",1,4))</f>
        <v>2</v>
      </c>
      <c r="S145" t="s">
        <v>462</v>
      </c>
      <c r="T145" s="101">
        <f>IF(Table1[[#This Row],[TZone]]="EST",4,IF(Table1[[#This Row],[TZone]]="CST",3,IF(Table1[[#This Row],[TZone]]="MST",2,1)))</f>
        <v>4</v>
      </c>
      <c r="U145" t="s">
        <v>463</v>
      </c>
      <c r="V145" s="101">
        <f>IF(Table1[[#This Row],[Low-cost office?]]="Yes",-4,0)</f>
        <v>0</v>
      </c>
    </row>
    <row r="146" spans="1:22" x14ac:dyDescent="0.55000000000000004">
      <c r="A146" t="s">
        <v>585</v>
      </c>
      <c r="B14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6" t="s">
        <v>469</v>
      </c>
      <c r="D146" s="95" t="s">
        <v>470</v>
      </c>
      <c r="E146" s="95" t="s">
        <v>470</v>
      </c>
      <c r="F146" s="95" t="s">
        <v>470</v>
      </c>
      <c r="G146" s="95" t="s">
        <v>470</v>
      </c>
      <c r="H146" s="95" t="s">
        <v>470</v>
      </c>
      <c r="I146" s="95" t="s">
        <v>460</v>
      </c>
      <c r="J146" s="99">
        <f>IF(Table1[[#This Row],[CIV]]="⮽",0,1)*1.5</f>
        <v>0</v>
      </c>
      <c r="K146" s="99">
        <f>IF(Table1[[#This Row],[ARC]]="⮽",0,1)*3</f>
        <v>0</v>
      </c>
      <c r="L146" s="99">
        <f>IF(Table1[[#This Row],[STR]]="⮽",0,1)*2</f>
        <v>0</v>
      </c>
      <c r="M146" s="99">
        <f>IF(Table1[[#This Row],[MP]]="⮽",0,1)</f>
        <v>0</v>
      </c>
      <c r="N146" s="99">
        <f>IF(Table1[[#This Row],[ELE]]="⮽",0,1)</f>
        <v>0</v>
      </c>
      <c r="O146" s="99">
        <f>IF(Table1[[#This Row],[FP]]="⮽",0,1)</f>
        <v>1</v>
      </c>
      <c r="P146">
        <v>1</v>
      </c>
      <c r="Q146" t="s">
        <v>472</v>
      </c>
      <c r="R146" s="101">
        <f>IF(Table1[[#This Row],[Size (S, M, L)]]="S",2,IF(Table1[[#This Row],[Size (S, M, L)]]="L",1,4))</f>
        <v>2</v>
      </c>
      <c r="S146" t="s">
        <v>465</v>
      </c>
      <c r="T146" s="101">
        <f>IF(Table1[[#This Row],[TZone]]="EST",4,IF(Table1[[#This Row],[TZone]]="CST",3,IF(Table1[[#This Row],[TZone]]="MST",2,1)))</f>
        <v>3</v>
      </c>
      <c r="U146" t="s">
        <v>463</v>
      </c>
      <c r="V146" s="101">
        <f>IF(Table1[[#This Row],[Low-cost office?]]="Yes",-4,0)</f>
        <v>0</v>
      </c>
    </row>
    <row r="147" spans="1:22" x14ac:dyDescent="0.55000000000000004">
      <c r="A147" t="s">
        <v>427</v>
      </c>
      <c r="B14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7" t="s">
        <v>469</v>
      </c>
      <c r="D147" s="94" t="s">
        <v>470</v>
      </c>
      <c r="E147" s="95" t="s">
        <v>460</v>
      </c>
      <c r="F147" s="94" t="s">
        <v>470</v>
      </c>
      <c r="G147" s="94" t="s">
        <v>470</v>
      </c>
      <c r="H147" s="94" t="s">
        <v>470</v>
      </c>
      <c r="I147" s="94" t="s">
        <v>470</v>
      </c>
      <c r="J147" s="98">
        <f>IF(Table1[[#This Row],[CIV]]="⮽",0,1)*1.5</f>
        <v>0</v>
      </c>
      <c r="K147" s="98">
        <f>IF(Table1[[#This Row],[ARC]]="⮽",0,1)*3</f>
        <v>3</v>
      </c>
      <c r="L147" s="98">
        <f>IF(Table1[[#This Row],[STR]]="⮽",0,1)*2</f>
        <v>0</v>
      </c>
      <c r="M147" s="98">
        <f>IF(Table1[[#This Row],[MP]]="⮽",0,1)</f>
        <v>0</v>
      </c>
      <c r="N147" s="98">
        <f>IF(Table1[[#This Row],[ELE]]="⮽",0,1)</f>
        <v>0</v>
      </c>
      <c r="O147" s="98">
        <f>IF(Table1[[#This Row],[FP]]="⮽",0,1)</f>
        <v>0</v>
      </c>
      <c r="P147">
        <v>2</v>
      </c>
      <c r="Q147" t="s">
        <v>475</v>
      </c>
      <c r="R147" s="101">
        <f>IF(Table1[[#This Row],[Size (S, M, L)]]="S",2,IF(Table1[[#This Row],[Size (S, M, L)]]="L",1,4))</f>
        <v>1</v>
      </c>
      <c r="S147" t="s">
        <v>462</v>
      </c>
      <c r="T147" s="101">
        <f>IF(Table1[[#This Row],[TZone]]="EST",4,IF(Table1[[#This Row],[TZone]]="CST",3,IF(Table1[[#This Row],[TZone]]="MST",2,1)))</f>
        <v>4</v>
      </c>
      <c r="U147" t="s">
        <v>479</v>
      </c>
      <c r="V147" s="101">
        <f>IF(Table1[[#This Row],[Low-cost office?]]="Yes",-4,0)</f>
        <v>-4</v>
      </c>
    </row>
    <row r="148" spans="1:22" x14ac:dyDescent="0.55000000000000004">
      <c r="A148" t="s">
        <v>586</v>
      </c>
      <c r="B14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8" t="s">
        <v>469</v>
      </c>
      <c r="D148" s="95" t="s">
        <v>470</v>
      </c>
      <c r="E148" s="95" t="s">
        <v>470</v>
      </c>
      <c r="F148" s="95" t="s">
        <v>460</v>
      </c>
      <c r="G148" s="95" t="s">
        <v>470</v>
      </c>
      <c r="H148" s="95" t="s">
        <v>470</v>
      </c>
      <c r="I148" s="95" t="s">
        <v>470</v>
      </c>
      <c r="J148" s="99">
        <f>IF(Table1[[#This Row],[CIV]]="⮽",0,1)*1.5</f>
        <v>0</v>
      </c>
      <c r="K148" s="99">
        <f>IF(Table1[[#This Row],[ARC]]="⮽",0,1)*3</f>
        <v>0</v>
      </c>
      <c r="L148" s="99">
        <f>IF(Table1[[#This Row],[STR]]="⮽",0,1)*2</f>
        <v>2</v>
      </c>
      <c r="M148" s="99">
        <f>IF(Table1[[#This Row],[MP]]="⮽",0,1)</f>
        <v>0</v>
      </c>
      <c r="N148" s="99">
        <f>IF(Table1[[#This Row],[ELE]]="⮽",0,1)</f>
        <v>0</v>
      </c>
      <c r="O148" s="99">
        <f>IF(Table1[[#This Row],[FP]]="⮽",0,1)</f>
        <v>0</v>
      </c>
      <c r="P148">
        <v>1</v>
      </c>
      <c r="Q148" t="s">
        <v>472</v>
      </c>
      <c r="R148" s="101">
        <f>IF(Table1[[#This Row],[Size (S, M, L)]]="S",2,IF(Table1[[#This Row],[Size (S, M, L)]]="L",1,4))</f>
        <v>2</v>
      </c>
      <c r="S148" t="s">
        <v>473</v>
      </c>
      <c r="T148" s="101">
        <f>IF(Table1[[#This Row],[TZone]]="EST",4,IF(Table1[[#This Row],[TZone]]="CST",3,IF(Table1[[#This Row],[TZone]]="MST",2,1)))</f>
        <v>2</v>
      </c>
      <c r="U148" t="s">
        <v>463</v>
      </c>
      <c r="V148" s="101">
        <f>IF(Table1[[#This Row],[Low-cost office?]]="Yes",-4,0)</f>
        <v>0</v>
      </c>
    </row>
    <row r="149" spans="1:22" x14ac:dyDescent="0.55000000000000004">
      <c r="A149" t="s">
        <v>587</v>
      </c>
      <c r="B14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9" t="s">
        <v>469</v>
      </c>
      <c r="D149" s="95" t="s">
        <v>470</v>
      </c>
      <c r="E149" s="95" t="s">
        <v>470</v>
      </c>
      <c r="F149" s="95" t="s">
        <v>470</v>
      </c>
      <c r="G149" s="95" t="s">
        <v>470</v>
      </c>
      <c r="H149" s="95" t="s">
        <v>470</v>
      </c>
      <c r="I149" s="95" t="s">
        <v>470</v>
      </c>
      <c r="J149" s="99">
        <f>IF(Table1[[#This Row],[CIV]]="⮽",0,1)*1.5</f>
        <v>0</v>
      </c>
      <c r="K149" s="99">
        <f>IF(Table1[[#This Row],[ARC]]="⮽",0,1)*3</f>
        <v>0</v>
      </c>
      <c r="L149" s="99">
        <f>IF(Table1[[#This Row],[STR]]="⮽",0,1)*2</f>
        <v>0</v>
      </c>
      <c r="M149" s="99">
        <f>IF(Table1[[#This Row],[MP]]="⮽",0,1)</f>
        <v>0</v>
      </c>
      <c r="N149" s="99">
        <f>IF(Table1[[#This Row],[ELE]]="⮽",0,1)</f>
        <v>0</v>
      </c>
      <c r="O149" s="99">
        <f>IF(Table1[[#This Row],[FP]]="⮽",0,1)</f>
        <v>0</v>
      </c>
      <c r="P149">
        <v>1</v>
      </c>
      <c r="Q149" t="s">
        <v>472</v>
      </c>
      <c r="R149" s="101">
        <f>IF(Table1[[#This Row],[Size (S, M, L)]]="S",2,IF(Table1[[#This Row],[Size (S, M, L)]]="L",1,4))</f>
        <v>2</v>
      </c>
      <c r="S149" t="s">
        <v>462</v>
      </c>
      <c r="T149" s="101">
        <f>IF(Table1[[#This Row],[TZone]]="EST",4,IF(Table1[[#This Row],[TZone]]="CST",3,IF(Table1[[#This Row],[TZone]]="MST",2,1)))</f>
        <v>4</v>
      </c>
      <c r="U149" t="s">
        <v>463</v>
      </c>
      <c r="V149" s="101">
        <f>IF(Table1[[#This Row],[Low-cost office?]]="Yes",-4,0)</f>
        <v>0</v>
      </c>
    </row>
    <row r="150" spans="1:22" x14ac:dyDescent="0.55000000000000004">
      <c r="A150" t="s">
        <v>588</v>
      </c>
      <c r="B15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0" t="s">
        <v>469</v>
      </c>
      <c r="D150" s="95" t="s">
        <v>470</v>
      </c>
      <c r="E150" s="94" t="s">
        <v>460</v>
      </c>
      <c r="F150" s="95" t="s">
        <v>470</v>
      </c>
      <c r="G150" s="95" t="s">
        <v>470</v>
      </c>
      <c r="H150" s="95" t="s">
        <v>470</v>
      </c>
      <c r="I150" s="95" t="s">
        <v>470</v>
      </c>
      <c r="J150" s="99">
        <f>IF(Table1[[#This Row],[CIV]]="⮽",0,1)*1.5</f>
        <v>0</v>
      </c>
      <c r="K150" s="99">
        <f>IF(Table1[[#This Row],[ARC]]="⮽",0,1)*3</f>
        <v>3</v>
      </c>
      <c r="L150" s="99">
        <f>IF(Table1[[#This Row],[STR]]="⮽",0,1)*2</f>
        <v>0</v>
      </c>
      <c r="M150" s="99">
        <f>IF(Table1[[#This Row],[MP]]="⮽",0,1)</f>
        <v>0</v>
      </c>
      <c r="N150" s="99">
        <f>IF(Table1[[#This Row],[ELE]]="⮽",0,1)</f>
        <v>0</v>
      </c>
      <c r="O150" s="99">
        <f>IF(Table1[[#This Row],[FP]]="⮽",0,1)</f>
        <v>0</v>
      </c>
      <c r="P150">
        <v>1</v>
      </c>
      <c r="Q150" t="s">
        <v>472</v>
      </c>
      <c r="R150" s="101">
        <f>IF(Table1[[#This Row],[Size (S, M, L)]]="S",2,IF(Table1[[#This Row],[Size (S, M, L)]]="L",1,4))</f>
        <v>2</v>
      </c>
      <c r="S150" t="s">
        <v>485</v>
      </c>
      <c r="T150" s="101">
        <f>IF(Table1[[#This Row],[TZone]]="EST",4,IF(Table1[[#This Row],[TZone]]="CST",3,IF(Table1[[#This Row],[TZone]]="MST",2,1)))</f>
        <v>1</v>
      </c>
      <c r="U150" t="s">
        <v>463</v>
      </c>
      <c r="V150" s="101">
        <f>IF(Table1[[#This Row],[Low-cost office?]]="Yes",-4,0)</f>
        <v>0</v>
      </c>
    </row>
    <row r="151" spans="1:22" x14ac:dyDescent="0.55000000000000004">
      <c r="A151" t="s">
        <v>589</v>
      </c>
      <c r="B15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1" t="s">
        <v>469</v>
      </c>
      <c r="D151" s="95" t="s">
        <v>470</v>
      </c>
      <c r="E151" s="94" t="s">
        <v>460</v>
      </c>
      <c r="F151" s="95" t="s">
        <v>470</v>
      </c>
      <c r="G151" s="95" t="s">
        <v>470</v>
      </c>
      <c r="H151" s="95" t="s">
        <v>470</v>
      </c>
      <c r="I151" s="95" t="s">
        <v>470</v>
      </c>
      <c r="J151" s="99">
        <f>IF(Table1[[#This Row],[CIV]]="⮽",0,1)*1.5</f>
        <v>0</v>
      </c>
      <c r="K151" s="99">
        <f>IF(Table1[[#This Row],[ARC]]="⮽",0,1)*3</f>
        <v>3</v>
      </c>
      <c r="L151" s="99">
        <f>IF(Table1[[#This Row],[STR]]="⮽",0,1)*2</f>
        <v>0</v>
      </c>
      <c r="M151" s="99">
        <f>IF(Table1[[#This Row],[MP]]="⮽",0,1)</f>
        <v>0</v>
      </c>
      <c r="N151" s="99">
        <f>IF(Table1[[#This Row],[ELE]]="⮽",0,1)</f>
        <v>0</v>
      </c>
      <c r="O151" s="99">
        <f>IF(Table1[[#This Row],[FP]]="⮽",0,1)</f>
        <v>0</v>
      </c>
      <c r="P151">
        <v>1</v>
      </c>
      <c r="Q151" t="s">
        <v>472</v>
      </c>
      <c r="R151" s="101">
        <f>IF(Table1[[#This Row],[Size (S, M, L)]]="S",2,IF(Table1[[#This Row],[Size (S, M, L)]]="L",1,4))</f>
        <v>2</v>
      </c>
      <c r="S151" t="s">
        <v>485</v>
      </c>
      <c r="T151" s="101">
        <f>IF(Table1[[#This Row],[TZone]]="EST",4,IF(Table1[[#This Row],[TZone]]="CST",3,IF(Table1[[#This Row],[TZone]]="MST",2,1)))</f>
        <v>1</v>
      </c>
      <c r="U151" t="s">
        <v>463</v>
      </c>
      <c r="V151" s="101">
        <f>IF(Table1[[#This Row],[Low-cost office?]]="Yes",-4,0)</f>
        <v>0</v>
      </c>
    </row>
    <row r="152" spans="1:22" x14ac:dyDescent="0.55000000000000004">
      <c r="A152" t="s">
        <v>590</v>
      </c>
      <c r="B15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2" t="s">
        <v>469</v>
      </c>
      <c r="D152" s="95" t="s">
        <v>470</v>
      </c>
      <c r="E152" s="94" t="s">
        <v>460</v>
      </c>
      <c r="F152" s="95" t="s">
        <v>470</v>
      </c>
      <c r="G152" s="95" t="s">
        <v>470</v>
      </c>
      <c r="H152" s="95" t="s">
        <v>470</v>
      </c>
      <c r="I152" s="95" t="s">
        <v>470</v>
      </c>
      <c r="J152" s="99">
        <f>IF(Table1[[#This Row],[CIV]]="⮽",0,1)*1.5</f>
        <v>0</v>
      </c>
      <c r="K152" s="99">
        <f>IF(Table1[[#This Row],[ARC]]="⮽",0,1)*3</f>
        <v>3</v>
      </c>
      <c r="L152" s="99">
        <f>IF(Table1[[#This Row],[STR]]="⮽",0,1)*2</f>
        <v>0</v>
      </c>
      <c r="M152" s="99">
        <f>IF(Table1[[#This Row],[MP]]="⮽",0,1)</f>
        <v>0</v>
      </c>
      <c r="N152" s="99">
        <f>IF(Table1[[#This Row],[ELE]]="⮽",0,1)</f>
        <v>0</v>
      </c>
      <c r="O152" s="99">
        <f>IF(Table1[[#This Row],[FP]]="⮽",0,1)</f>
        <v>0</v>
      </c>
      <c r="P152">
        <v>1</v>
      </c>
      <c r="Q152" t="s">
        <v>472</v>
      </c>
      <c r="R152" s="101">
        <f>IF(Table1[[#This Row],[Size (S, M, L)]]="S",2,IF(Table1[[#This Row],[Size (S, M, L)]]="L",1,4))</f>
        <v>2</v>
      </c>
      <c r="S152" t="s">
        <v>485</v>
      </c>
      <c r="T152" s="101">
        <f>IF(Table1[[#This Row],[TZone]]="EST",4,IF(Table1[[#This Row],[TZone]]="CST",3,IF(Table1[[#This Row],[TZone]]="MST",2,1)))</f>
        <v>1</v>
      </c>
      <c r="U152" t="s">
        <v>463</v>
      </c>
      <c r="V152" s="101">
        <f>IF(Table1[[#This Row],[Low-cost office?]]="Yes",-4,0)</f>
        <v>0</v>
      </c>
    </row>
    <row r="153" spans="1:22" x14ac:dyDescent="0.55000000000000004">
      <c r="A153" t="s">
        <v>591</v>
      </c>
      <c r="B15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3" t="s">
        <v>469</v>
      </c>
      <c r="D153" s="95" t="s">
        <v>470</v>
      </c>
      <c r="E153" s="95" t="s">
        <v>470</v>
      </c>
      <c r="F153" s="95" t="s">
        <v>470</v>
      </c>
      <c r="G153" s="94" t="s">
        <v>460</v>
      </c>
      <c r="H153" s="94" t="s">
        <v>460</v>
      </c>
      <c r="I153" s="94" t="s">
        <v>460</v>
      </c>
      <c r="J153" s="98">
        <f>IF(Table1[[#This Row],[CIV]]="⮽",0,1)*1.5</f>
        <v>0</v>
      </c>
      <c r="K153" s="98">
        <f>IF(Table1[[#This Row],[ARC]]="⮽",0,1)*3</f>
        <v>0</v>
      </c>
      <c r="L153" s="98">
        <f>IF(Table1[[#This Row],[STR]]="⮽",0,1)*2</f>
        <v>0</v>
      </c>
      <c r="M153" s="98">
        <f>IF(Table1[[#This Row],[MP]]="⮽",0,1)</f>
        <v>1</v>
      </c>
      <c r="N153" s="98">
        <f>IF(Table1[[#This Row],[ELE]]="⮽",0,1)</f>
        <v>1</v>
      </c>
      <c r="O153" s="98">
        <f>IF(Table1[[#This Row],[FP]]="⮽",0,1)</f>
        <v>1</v>
      </c>
      <c r="P153">
        <v>2</v>
      </c>
      <c r="Q153" t="s">
        <v>472</v>
      </c>
      <c r="R153" s="101">
        <f>IF(Table1[[#This Row],[Size (S, M, L)]]="S",2,IF(Table1[[#This Row],[Size (S, M, L)]]="L",1,4))</f>
        <v>2</v>
      </c>
      <c r="S153" t="s">
        <v>465</v>
      </c>
      <c r="T153" s="101">
        <f>IF(Table1[[#This Row],[TZone]]="EST",4,IF(Table1[[#This Row],[TZone]]="CST",3,IF(Table1[[#This Row],[TZone]]="MST",2,1)))</f>
        <v>3</v>
      </c>
      <c r="U153" t="s">
        <v>479</v>
      </c>
      <c r="V153" s="101">
        <f>IF(Table1[[#This Row],[Low-cost office?]]="Yes",-4,0)</f>
        <v>-4</v>
      </c>
    </row>
    <row r="154" spans="1:22" x14ac:dyDescent="0.55000000000000004">
      <c r="A154" t="s">
        <v>592</v>
      </c>
      <c r="B15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4" t="s">
        <v>469</v>
      </c>
      <c r="D154" s="95" t="s">
        <v>470</v>
      </c>
      <c r="E154" s="94" t="s">
        <v>460</v>
      </c>
      <c r="F154" s="95" t="s">
        <v>470</v>
      </c>
      <c r="G154" s="95" t="s">
        <v>470</v>
      </c>
      <c r="H154" s="95" t="s">
        <v>470</v>
      </c>
      <c r="I154" s="95" t="s">
        <v>470</v>
      </c>
      <c r="J154" s="99">
        <f>IF(Table1[[#This Row],[CIV]]="⮽",0,1)*1.5</f>
        <v>0</v>
      </c>
      <c r="K154" s="99">
        <f>IF(Table1[[#This Row],[ARC]]="⮽",0,1)*3</f>
        <v>3</v>
      </c>
      <c r="L154" s="99">
        <f>IF(Table1[[#This Row],[STR]]="⮽",0,1)*2</f>
        <v>0</v>
      </c>
      <c r="M154" s="99">
        <f>IF(Table1[[#This Row],[MP]]="⮽",0,1)</f>
        <v>0</v>
      </c>
      <c r="N154" s="99">
        <f>IF(Table1[[#This Row],[ELE]]="⮽",0,1)</f>
        <v>0</v>
      </c>
      <c r="O154" s="99">
        <f>IF(Table1[[#This Row],[FP]]="⮽",0,1)</f>
        <v>0</v>
      </c>
      <c r="P154">
        <v>1</v>
      </c>
      <c r="Q154" t="s">
        <v>472</v>
      </c>
      <c r="R154" s="101">
        <f>IF(Table1[[#This Row],[Size (S, M, L)]]="S",2,IF(Table1[[#This Row],[Size (S, M, L)]]="L",1,4))</f>
        <v>2</v>
      </c>
      <c r="S154" t="s">
        <v>485</v>
      </c>
      <c r="T154" s="101">
        <f>IF(Table1[[#This Row],[TZone]]="EST",4,IF(Table1[[#This Row],[TZone]]="CST",3,IF(Table1[[#This Row],[TZone]]="MST",2,1)))</f>
        <v>1</v>
      </c>
      <c r="U154" t="s">
        <v>463</v>
      </c>
      <c r="V154" s="101">
        <f>IF(Table1[[#This Row],[Low-cost office?]]="Yes",-4,0)</f>
        <v>0</v>
      </c>
    </row>
    <row r="155" spans="1:22" x14ac:dyDescent="0.55000000000000004">
      <c r="A155" t="s">
        <v>593</v>
      </c>
      <c r="B15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5" t="s">
        <v>469</v>
      </c>
      <c r="D155" s="95" t="s">
        <v>470</v>
      </c>
      <c r="E155" s="94" t="s">
        <v>460</v>
      </c>
      <c r="F155" s="95" t="s">
        <v>470</v>
      </c>
      <c r="G155" s="94" t="s">
        <v>460</v>
      </c>
      <c r="H155" s="94" t="s">
        <v>460</v>
      </c>
      <c r="I155" s="95" t="s">
        <v>470</v>
      </c>
      <c r="J155" s="99">
        <f>IF(Table1[[#This Row],[CIV]]="⮽",0,1)*1.5</f>
        <v>0</v>
      </c>
      <c r="K155" s="99">
        <f>IF(Table1[[#This Row],[ARC]]="⮽",0,1)*3</f>
        <v>3</v>
      </c>
      <c r="L155" s="99">
        <f>IF(Table1[[#This Row],[STR]]="⮽",0,1)*2</f>
        <v>0</v>
      </c>
      <c r="M155" s="99">
        <f>IF(Table1[[#This Row],[MP]]="⮽",0,1)</f>
        <v>1</v>
      </c>
      <c r="N155" s="99">
        <f>IF(Table1[[#This Row],[ELE]]="⮽",0,1)</f>
        <v>1</v>
      </c>
      <c r="O155" s="99">
        <f>IF(Table1[[#This Row],[FP]]="⮽",0,1)</f>
        <v>0</v>
      </c>
      <c r="P155">
        <v>2</v>
      </c>
      <c r="Q155" t="s">
        <v>472</v>
      </c>
      <c r="R155" s="101">
        <f>IF(Table1[[#This Row],[Size (S, M, L)]]="S",2,IF(Table1[[#This Row],[Size (S, M, L)]]="L",1,4))</f>
        <v>2</v>
      </c>
      <c r="S155" t="s">
        <v>485</v>
      </c>
      <c r="T155" s="101">
        <f>IF(Table1[[#This Row],[TZone]]="EST",4,IF(Table1[[#This Row],[TZone]]="CST",3,IF(Table1[[#This Row],[TZone]]="MST",2,1)))</f>
        <v>1</v>
      </c>
      <c r="U155" t="s">
        <v>479</v>
      </c>
      <c r="V155" s="101">
        <f>IF(Table1[[#This Row],[Low-cost office?]]="Yes",-4,0)</f>
        <v>-4</v>
      </c>
    </row>
    <row r="156" spans="1:22" x14ac:dyDescent="0.55000000000000004">
      <c r="A156" t="s">
        <v>594</v>
      </c>
      <c r="B15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6" t="s">
        <v>469</v>
      </c>
      <c r="D156" s="95" t="s">
        <v>470</v>
      </c>
      <c r="E156" s="94" t="s">
        <v>460</v>
      </c>
      <c r="F156" s="95" t="s">
        <v>470</v>
      </c>
      <c r="G156" s="95" t="s">
        <v>470</v>
      </c>
      <c r="H156" s="95" t="s">
        <v>470</v>
      </c>
      <c r="I156" s="95" t="s">
        <v>470</v>
      </c>
      <c r="J156" s="99">
        <f>IF(Table1[[#This Row],[CIV]]="⮽",0,1)*1.5</f>
        <v>0</v>
      </c>
      <c r="K156" s="99">
        <f>IF(Table1[[#This Row],[ARC]]="⮽",0,1)*3</f>
        <v>3</v>
      </c>
      <c r="L156" s="99">
        <f>IF(Table1[[#This Row],[STR]]="⮽",0,1)*2</f>
        <v>0</v>
      </c>
      <c r="M156" s="99">
        <f>IF(Table1[[#This Row],[MP]]="⮽",0,1)</f>
        <v>0</v>
      </c>
      <c r="N156" s="99">
        <f>IF(Table1[[#This Row],[ELE]]="⮽",0,1)</f>
        <v>0</v>
      </c>
      <c r="O156" s="99">
        <f>IF(Table1[[#This Row],[FP]]="⮽",0,1)</f>
        <v>0</v>
      </c>
      <c r="P156">
        <v>1</v>
      </c>
      <c r="Q156" t="s">
        <v>472</v>
      </c>
      <c r="R156" s="101">
        <f>IF(Table1[[#This Row],[Size (S, M, L)]]="S",2,IF(Table1[[#This Row],[Size (S, M, L)]]="L",1,4))</f>
        <v>2</v>
      </c>
      <c r="S156" t="s">
        <v>485</v>
      </c>
      <c r="T156" s="101">
        <f>IF(Table1[[#This Row],[TZone]]="EST",4,IF(Table1[[#This Row],[TZone]]="CST",3,IF(Table1[[#This Row],[TZone]]="MST",2,1)))</f>
        <v>1</v>
      </c>
      <c r="U156" t="s">
        <v>463</v>
      </c>
      <c r="V156" s="101">
        <f>IF(Table1[[#This Row],[Low-cost office?]]="Yes",-4,0)</f>
        <v>0</v>
      </c>
    </row>
    <row r="157" spans="1:22" x14ac:dyDescent="0.55000000000000004">
      <c r="A157" t="s">
        <v>595</v>
      </c>
      <c r="B15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7" t="s">
        <v>469</v>
      </c>
      <c r="D157" s="95" t="s">
        <v>470</v>
      </c>
      <c r="E157" s="94" t="s">
        <v>460</v>
      </c>
      <c r="F157" s="95" t="s">
        <v>470</v>
      </c>
      <c r="G157" s="95" t="s">
        <v>470</v>
      </c>
      <c r="H157" s="95" t="s">
        <v>470</v>
      </c>
      <c r="I157" s="95" t="s">
        <v>470</v>
      </c>
      <c r="J157" s="99">
        <f>IF(Table1[[#This Row],[CIV]]="⮽",0,1)*1.5</f>
        <v>0</v>
      </c>
      <c r="K157" s="99">
        <f>IF(Table1[[#This Row],[ARC]]="⮽",0,1)*3</f>
        <v>3</v>
      </c>
      <c r="L157" s="99">
        <f>IF(Table1[[#This Row],[STR]]="⮽",0,1)*2</f>
        <v>0</v>
      </c>
      <c r="M157" s="99">
        <f>IF(Table1[[#This Row],[MP]]="⮽",0,1)</f>
        <v>0</v>
      </c>
      <c r="N157" s="99">
        <f>IF(Table1[[#This Row],[ELE]]="⮽",0,1)</f>
        <v>0</v>
      </c>
      <c r="O157" s="99">
        <f>IF(Table1[[#This Row],[FP]]="⮽",0,1)</f>
        <v>0</v>
      </c>
      <c r="P157">
        <v>1</v>
      </c>
      <c r="Q157" t="s">
        <v>472</v>
      </c>
      <c r="R157" s="101">
        <f>IF(Table1[[#This Row],[Size (S, M, L)]]="S",2,IF(Table1[[#This Row],[Size (S, M, L)]]="L",1,4))</f>
        <v>2</v>
      </c>
      <c r="S157" t="s">
        <v>485</v>
      </c>
      <c r="T157" s="101">
        <f>IF(Table1[[#This Row],[TZone]]="EST",4,IF(Table1[[#This Row],[TZone]]="CST",3,IF(Table1[[#This Row],[TZone]]="MST",2,1)))</f>
        <v>1</v>
      </c>
      <c r="U157" t="s">
        <v>463</v>
      </c>
      <c r="V157" s="101">
        <f>IF(Table1[[#This Row],[Low-cost office?]]="Yes",-4,0)</f>
        <v>0</v>
      </c>
    </row>
    <row r="158" spans="1:22" x14ac:dyDescent="0.55000000000000004">
      <c r="A158" t="s">
        <v>596</v>
      </c>
      <c r="B15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8" t="s">
        <v>469</v>
      </c>
      <c r="D158" s="95" t="s">
        <v>470</v>
      </c>
      <c r="E158" s="94" t="s">
        <v>460</v>
      </c>
      <c r="F158" s="95" t="s">
        <v>470</v>
      </c>
      <c r="G158" s="95" t="s">
        <v>470</v>
      </c>
      <c r="H158" s="95" t="s">
        <v>470</v>
      </c>
      <c r="I158" s="95" t="s">
        <v>470</v>
      </c>
      <c r="J158" s="99">
        <f>IF(Table1[[#This Row],[CIV]]="⮽",0,1)*1.5</f>
        <v>0</v>
      </c>
      <c r="K158" s="99">
        <f>IF(Table1[[#This Row],[ARC]]="⮽",0,1)*3</f>
        <v>3</v>
      </c>
      <c r="L158" s="99">
        <f>IF(Table1[[#This Row],[STR]]="⮽",0,1)*2</f>
        <v>0</v>
      </c>
      <c r="M158" s="99">
        <f>IF(Table1[[#This Row],[MP]]="⮽",0,1)</f>
        <v>0</v>
      </c>
      <c r="N158" s="99">
        <f>IF(Table1[[#This Row],[ELE]]="⮽",0,1)</f>
        <v>0</v>
      </c>
      <c r="O158" s="99">
        <f>IF(Table1[[#This Row],[FP]]="⮽",0,1)</f>
        <v>0</v>
      </c>
      <c r="P158">
        <v>1</v>
      </c>
      <c r="Q158" t="s">
        <v>472</v>
      </c>
      <c r="R158" s="101">
        <f>IF(Table1[[#This Row],[Size (S, M, L)]]="S",2,IF(Table1[[#This Row],[Size (S, M, L)]]="L",1,4))</f>
        <v>2</v>
      </c>
      <c r="S158" t="s">
        <v>485</v>
      </c>
      <c r="T158" s="101">
        <f>IF(Table1[[#This Row],[TZone]]="EST",4,IF(Table1[[#This Row],[TZone]]="CST",3,IF(Table1[[#This Row],[TZone]]="MST",2,1)))</f>
        <v>1</v>
      </c>
      <c r="U158" t="s">
        <v>463</v>
      </c>
      <c r="V158" s="101">
        <f>IF(Table1[[#This Row],[Low-cost office?]]="Yes",-4,0)</f>
        <v>0</v>
      </c>
    </row>
    <row r="159" spans="1:22" x14ac:dyDescent="0.55000000000000004">
      <c r="A159" t="s">
        <v>597</v>
      </c>
      <c r="B15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9" t="s">
        <v>469</v>
      </c>
      <c r="D159" s="95" t="s">
        <v>470</v>
      </c>
      <c r="E159" s="94" t="s">
        <v>460</v>
      </c>
      <c r="F159" s="95" t="s">
        <v>470</v>
      </c>
      <c r="G159" s="95" t="s">
        <v>470</v>
      </c>
      <c r="H159" s="95" t="s">
        <v>470</v>
      </c>
      <c r="I159" s="95" t="s">
        <v>470</v>
      </c>
      <c r="J159" s="99">
        <f>IF(Table1[[#This Row],[CIV]]="⮽",0,1)*1.5</f>
        <v>0</v>
      </c>
      <c r="K159" s="99">
        <f>IF(Table1[[#This Row],[ARC]]="⮽",0,1)*3</f>
        <v>3</v>
      </c>
      <c r="L159" s="99">
        <f>IF(Table1[[#This Row],[STR]]="⮽",0,1)*2</f>
        <v>0</v>
      </c>
      <c r="M159" s="99">
        <f>IF(Table1[[#This Row],[MP]]="⮽",0,1)</f>
        <v>0</v>
      </c>
      <c r="N159" s="99">
        <f>IF(Table1[[#This Row],[ELE]]="⮽",0,1)</f>
        <v>0</v>
      </c>
      <c r="O159" s="99">
        <f>IF(Table1[[#This Row],[FP]]="⮽",0,1)</f>
        <v>0</v>
      </c>
      <c r="P159">
        <v>1</v>
      </c>
      <c r="Q159" t="s">
        <v>472</v>
      </c>
      <c r="R159" s="101">
        <f>IF(Table1[[#This Row],[Size (S, M, L)]]="S",2,IF(Table1[[#This Row],[Size (S, M, L)]]="L",1,4))</f>
        <v>2</v>
      </c>
      <c r="S159" t="s">
        <v>485</v>
      </c>
      <c r="T159" s="101">
        <f>IF(Table1[[#This Row],[TZone]]="EST",4,IF(Table1[[#This Row],[TZone]]="CST",3,IF(Table1[[#This Row],[TZone]]="MST",2,1)))</f>
        <v>1</v>
      </c>
      <c r="U159" t="s">
        <v>463</v>
      </c>
      <c r="V159" s="101">
        <f>IF(Table1[[#This Row],[Low-cost office?]]="Yes",-4,0)</f>
        <v>0</v>
      </c>
    </row>
    <row r="160" spans="1:22" x14ac:dyDescent="0.55000000000000004">
      <c r="A160" t="s">
        <v>598</v>
      </c>
      <c r="B16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7.5</v>
      </c>
      <c r="C160" t="s">
        <v>469</v>
      </c>
      <c r="D160" s="94" t="s">
        <v>460</v>
      </c>
      <c r="E160" s="95" t="s">
        <v>470</v>
      </c>
      <c r="F160" s="95" t="s">
        <v>470</v>
      </c>
      <c r="G160" s="95" t="s">
        <v>470</v>
      </c>
      <c r="H160" s="95" t="s">
        <v>470</v>
      </c>
      <c r="I160" s="95" t="s">
        <v>470</v>
      </c>
      <c r="J160" s="99">
        <f>IF(Table1[[#This Row],[CIV]]="⮽",0,1)*1.5</f>
        <v>1.5</v>
      </c>
      <c r="K160" s="99">
        <f>IF(Table1[[#This Row],[ARC]]="⮽",0,1)*3</f>
        <v>0</v>
      </c>
      <c r="L160" s="99">
        <f>IF(Table1[[#This Row],[STR]]="⮽",0,1)*2</f>
        <v>0</v>
      </c>
      <c r="M160" s="99">
        <f>IF(Table1[[#This Row],[MP]]="⮽",0,1)</f>
        <v>0</v>
      </c>
      <c r="N160" s="99">
        <f>IF(Table1[[#This Row],[ELE]]="⮽",0,1)</f>
        <v>0</v>
      </c>
      <c r="O160" s="99">
        <f>IF(Table1[[#This Row],[FP]]="⮽",0,1)</f>
        <v>0</v>
      </c>
      <c r="P160">
        <v>1</v>
      </c>
      <c r="Q160" t="s">
        <v>475</v>
      </c>
      <c r="R160" s="101">
        <f>IF(Table1[[#This Row],[Size (S, M, L)]]="S",2,IF(Table1[[#This Row],[Size (S, M, L)]]="L",1,4))</f>
        <v>1</v>
      </c>
      <c r="S160" t="s">
        <v>465</v>
      </c>
      <c r="T160" s="101">
        <f>IF(Table1[[#This Row],[TZone]]="EST",4,IF(Table1[[#This Row],[TZone]]="CST",3,IF(Table1[[#This Row],[TZone]]="MST",2,1)))</f>
        <v>3</v>
      </c>
      <c r="U160" t="s">
        <v>463</v>
      </c>
      <c r="V160" s="101">
        <f>IF(Table1[[#This Row],[Low-cost office?]]="Yes",-4,0)</f>
        <v>0</v>
      </c>
    </row>
    <row r="161" spans="1:22" x14ac:dyDescent="0.55000000000000004">
      <c r="A161" t="s">
        <v>599</v>
      </c>
      <c r="B16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7</v>
      </c>
      <c r="C161" t="s">
        <v>469</v>
      </c>
      <c r="D161" s="95" t="s">
        <v>470</v>
      </c>
      <c r="E161" s="95" t="s">
        <v>470</v>
      </c>
      <c r="F161" s="95" t="s">
        <v>470</v>
      </c>
      <c r="G161" s="95" t="s">
        <v>470</v>
      </c>
      <c r="H161" s="95" t="s">
        <v>470</v>
      </c>
      <c r="I161" s="95" t="s">
        <v>470</v>
      </c>
      <c r="J161" s="99">
        <f>IF(Table1[[#This Row],[CIV]]="⮽",0,1)*1.5</f>
        <v>0</v>
      </c>
      <c r="K161" s="99">
        <f>IF(Table1[[#This Row],[ARC]]="⮽",0,1)*3</f>
        <v>0</v>
      </c>
      <c r="L161" s="99">
        <f>IF(Table1[[#This Row],[STR]]="⮽",0,1)*2</f>
        <v>0</v>
      </c>
      <c r="M161" s="99">
        <f>IF(Table1[[#This Row],[MP]]="⮽",0,1)</f>
        <v>0</v>
      </c>
      <c r="N161" s="99">
        <f>IF(Table1[[#This Row],[ELE]]="⮽",0,1)</f>
        <v>0</v>
      </c>
      <c r="O161" s="99">
        <f>IF(Table1[[#This Row],[FP]]="⮽",0,1)</f>
        <v>0</v>
      </c>
      <c r="P161">
        <v>1</v>
      </c>
      <c r="Q161" t="s">
        <v>475</v>
      </c>
      <c r="R161" s="101">
        <f>IF(Table1[[#This Row],[Size (S, M, L)]]="S",2,IF(Table1[[#This Row],[Size (S, M, L)]]="L",1,4))</f>
        <v>1</v>
      </c>
      <c r="S161" t="s">
        <v>462</v>
      </c>
      <c r="T161" s="101">
        <f>IF(Table1[[#This Row],[TZone]]="EST",4,IF(Table1[[#This Row],[TZone]]="CST",3,IF(Table1[[#This Row],[TZone]]="MST",2,1)))</f>
        <v>4</v>
      </c>
      <c r="U161" t="s">
        <v>463</v>
      </c>
      <c r="V161" s="101">
        <f>IF(Table1[[#This Row],[Low-cost office?]]="Yes",-4,0)</f>
        <v>0</v>
      </c>
    </row>
    <row r="162" spans="1:22" x14ac:dyDescent="0.55000000000000004">
      <c r="A162" t="s">
        <v>600</v>
      </c>
      <c r="B16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7</v>
      </c>
      <c r="C162" t="s">
        <v>469</v>
      </c>
      <c r="D162" s="95" t="s">
        <v>470</v>
      </c>
      <c r="E162" s="95" t="s">
        <v>470</v>
      </c>
      <c r="F162" s="94" t="s">
        <v>460</v>
      </c>
      <c r="G162" s="95" t="s">
        <v>470</v>
      </c>
      <c r="H162" s="95" t="s">
        <v>470</v>
      </c>
      <c r="I162" s="95" t="s">
        <v>470</v>
      </c>
      <c r="J162" s="99">
        <f>IF(Table1[[#This Row],[CIV]]="⮽",0,1)*1.5</f>
        <v>0</v>
      </c>
      <c r="K162" s="99">
        <f>IF(Table1[[#This Row],[ARC]]="⮽",0,1)*3</f>
        <v>0</v>
      </c>
      <c r="L162" s="99">
        <f>IF(Table1[[#This Row],[STR]]="⮽",0,1)*2</f>
        <v>2</v>
      </c>
      <c r="M162" s="99">
        <f>IF(Table1[[#This Row],[MP]]="⮽",0,1)</f>
        <v>0</v>
      </c>
      <c r="N162" s="99">
        <f>IF(Table1[[#This Row],[ELE]]="⮽",0,1)</f>
        <v>0</v>
      </c>
      <c r="O162" s="99">
        <f>IF(Table1[[#This Row],[FP]]="⮽",0,1)</f>
        <v>0</v>
      </c>
      <c r="P162">
        <v>2</v>
      </c>
      <c r="Q162" t="s">
        <v>472</v>
      </c>
      <c r="R162" s="101">
        <f>IF(Table1[[#This Row],[Size (S, M, L)]]="S",2,IF(Table1[[#This Row],[Size (S, M, L)]]="L",1,4))</f>
        <v>2</v>
      </c>
      <c r="S162" t="s">
        <v>465</v>
      </c>
      <c r="T162" s="101">
        <f>IF(Table1[[#This Row],[TZone]]="EST",4,IF(Table1[[#This Row],[TZone]]="CST",3,IF(Table1[[#This Row],[TZone]]="MST",2,1)))</f>
        <v>3</v>
      </c>
      <c r="U162" t="s">
        <v>479</v>
      </c>
      <c r="V162" s="101">
        <f>IF(Table1[[#This Row],[Low-cost office?]]="Yes",-4,0)</f>
        <v>-4</v>
      </c>
    </row>
    <row r="163" spans="1:22" x14ac:dyDescent="0.55000000000000004">
      <c r="A163" t="s">
        <v>601</v>
      </c>
      <c r="B16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7</v>
      </c>
      <c r="C163" t="s">
        <v>469</v>
      </c>
      <c r="D163" s="95" t="s">
        <v>470</v>
      </c>
      <c r="E163" s="95" t="s">
        <v>470</v>
      </c>
      <c r="F163" s="95" t="s">
        <v>470</v>
      </c>
      <c r="G163" s="95" t="s">
        <v>470</v>
      </c>
      <c r="H163" s="95" t="s">
        <v>470</v>
      </c>
      <c r="I163" s="95" t="s">
        <v>470</v>
      </c>
      <c r="J163" s="99">
        <f>IF(Table1[[#This Row],[CIV]]="⮽",0,1)*1.5</f>
        <v>0</v>
      </c>
      <c r="K163" s="99">
        <f>IF(Table1[[#This Row],[ARC]]="⮽",0,1)*3</f>
        <v>0</v>
      </c>
      <c r="L163" s="99">
        <f>IF(Table1[[#This Row],[STR]]="⮽",0,1)*2</f>
        <v>0</v>
      </c>
      <c r="M163" s="99">
        <f>IF(Table1[[#This Row],[MP]]="⮽",0,1)</f>
        <v>0</v>
      </c>
      <c r="N163" s="99">
        <f>IF(Table1[[#This Row],[ELE]]="⮽",0,1)</f>
        <v>0</v>
      </c>
      <c r="O163" s="99">
        <f>IF(Table1[[#This Row],[FP]]="⮽",0,1)</f>
        <v>0</v>
      </c>
      <c r="P163">
        <v>1</v>
      </c>
      <c r="Q163" t="s">
        <v>472</v>
      </c>
      <c r="R163" s="101">
        <f>IF(Table1[[#This Row],[Size (S, M, L)]]="S",2,IF(Table1[[#This Row],[Size (S, M, L)]]="L",1,4))</f>
        <v>2</v>
      </c>
      <c r="S163" t="s">
        <v>465</v>
      </c>
      <c r="T163" s="101">
        <f>IF(Table1[[#This Row],[TZone]]="EST",4,IF(Table1[[#This Row],[TZone]]="CST",3,IF(Table1[[#This Row],[TZone]]="MST",2,1)))</f>
        <v>3</v>
      </c>
      <c r="U163" t="s">
        <v>463</v>
      </c>
      <c r="V163" s="101">
        <f>IF(Table1[[#This Row],[Low-cost office?]]="Yes",-4,0)</f>
        <v>0</v>
      </c>
    </row>
    <row r="164" spans="1:22" x14ac:dyDescent="0.55000000000000004">
      <c r="A164" t="s">
        <v>602</v>
      </c>
      <c r="B16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7</v>
      </c>
      <c r="C164" t="s">
        <v>469</v>
      </c>
      <c r="D164" s="95" t="s">
        <v>470</v>
      </c>
      <c r="E164" s="95" t="s">
        <v>470</v>
      </c>
      <c r="F164" s="95" t="s">
        <v>470</v>
      </c>
      <c r="G164" s="95" t="s">
        <v>470</v>
      </c>
      <c r="H164" s="95" t="s">
        <v>470</v>
      </c>
      <c r="I164" s="95" t="s">
        <v>470</v>
      </c>
      <c r="J164" s="99">
        <f>IF(Table1[[#This Row],[CIV]]="⮽",0,1)*1.5</f>
        <v>0</v>
      </c>
      <c r="K164" s="99">
        <f>IF(Table1[[#This Row],[ARC]]="⮽",0,1)*3</f>
        <v>0</v>
      </c>
      <c r="L164" s="99">
        <f>IF(Table1[[#This Row],[STR]]="⮽",0,1)*2</f>
        <v>0</v>
      </c>
      <c r="M164" s="99">
        <f>IF(Table1[[#This Row],[MP]]="⮽",0,1)</f>
        <v>0</v>
      </c>
      <c r="N164" s="99">
        <f>IF(Table1[[#This Row],[ELE]]="⮽",0,1)</f>
        <v>0</v>
      </c>
      <c r="O164" s="99">
        <f>IF(Table1[[#This Row],[FP]]="⮽",0,1)</f>
        <v>0</v>
      </c>
      <c r="P164">
        <v>1</v>
      </c>
      <c r="Q164" t="s">
        <v>472</v>
      </c>
      <c r="R164" s="101">
        <f>IF(Table1[[#This Row],[Size (S, M, L)]]="S",2,IF(Table1[[#This Row],[Size (S, M, L)]]="L",1,4))</f>
        <v>2</v>
      </c>
      <c r="S164" t="s">
        <v>465</v>
      </c>
      <c r="T164" s="101">
        <f>IF(Table1[[#This Row],[TZone]]="EST",4,IF(Table1[[#This Row],[TZone]]="CST",3,IF(Table1[[#This Row],[TZone]]="MST",2,1)))</f>
        <v>3</v>
      </c>
      <c r="U164" t="s">
        <v>463</v>
      </c>
      <c r="V164" s="101">
        <f>IF(Table1[[#This Row],[Low-cost office?]]="Yes",-4,0)</f>
        <v>0</v>
      </c>
    </row>
    <row r="165" spans="1:22" x14ac:dyDescent="0.55000000000000004">
      <c r="A165" t="s">
        <v>603</v>
      </c>
      <c r="B16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6.5</v>
      </c>
      <c r="C165" t="s">
        <v>469</v>
      </c>
      <c r="D165" s="95" t="s">
        <v>460</v>
      </c>
      <c r="E165" s="95" t="s">
        <v>470</v>
      </c>
      <c r="F165" s="95" t="s">
        <v>470</v>
      </c>
      <c r="G165" s="95" t="s">
        <v>470</v>
      </c>
      <c r="H165" s="95" t="s">
        <v>470</v>
      </c>
      <c r="I165" s="95" t="s">
        <v>470</v>
      </c>
      <c r="J165" s="99">
        <f>IF(Table1[[#This Row],[CIV]]="⮽",0,1)*1.5</f>
        <v>1.5</v>
      </c>
      <c r="K165" s="99">
        <f>IF(Table1[[#This Row],[ARC]]="⮽",0,1)*3</f>
        <v>0</v>
      </c>
      <c r="L165" s="99">
        <f>IF(Table1[[#This Row],[STR]]="⮽",0,1)*2</f>
        <v>0</v>
      </c>
      <c r="M165" s="99">
        <f>IF(Table1[[#This Row],[MP]]="⮽",0,1)</f>
        <v>0</v>
      </c>
      <c r="N165" s="99">
        <f>IF(Table1[[#This Row],[ELE]]="⮽",0,1)</f>
        <v>0</v>
      </c>
      <c r="O165" s="99">
        <f>IF(Table1[[#This Row],[FP]]="⮽",0,1)</f>
        <v>0</v>
      </c>
      <c r="P165">
        <v>1</v>
      </c>
      <c r="Q165" t="s">
        <v>472</v>
      </c>
      <c r="R165" s="101">
        <f>IF(Table1[[#This Row],[Size (S, M, L)]]="S",2,IF(Table1[[#This Row],[Size (S, M, L)]]="L",1,4))</f>
        <v>2</v>
      </c>
      <c r="S165" t="s">
        <v>485</v>
      </c>
      <c r="T165" s="101">
        <f>IF(Table1[[#This Row],[TZone]]="EST",4,IF(Table1[[#This Row],[TZone]]="CST",3,IF(Table1[[#This Row],[TZone]]="MST",2,1)))</f>
        <v>1</v>
      </c>
      <c r="U165" t="s">
        <v>463</v>
      </c>
      <c r="V165" s="101">
        <f>IF(Table1[[#This Row],[Low-cost office?]]="Yes",-4,0)</f>
        <v>0</v>
      </c>
    </row>
    <row r="166" spans="1:22" x14ac:dyDescent="0.55000000000000004">
      <c r="A166" t="s">
        <v>604</v>
      </c>
      <c r="B16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6</v>
      </c>
      <c r="C166" t="s">
        <v>138</v>
      </c>
      <c r="D166" s="94" t="s">
        <v>470</v>
      </c>
      <c r="E166" s="94" t="s">
        <v>470</v>
      </c>
      <c r="F166" s="94" t="s">
        <v>470</v>
      </c>
      <c r="G166" s="94" t="s">
        <v>470</v>
      </c>
      <c r="H166" s="94" t="s">
        <v>470</v>
      </c>
      <c r="I166" s="94" t="s">
        <v>470</v>
      </c>
      <c r="J166" s="98">
        <f>IF(Table1[[#This Row],[CIV]]="⮽",0,1)*1.5</f>
        <v>0</v>
      </c>
      <c r="K166" s="98">
        <f>IF(Table1[[#This Row],[ARC]]="⮽",0,1)*3</f>
        <v>0</v>
      </c>
      <c r="L166" s="98">
        <f>IF(Table1[[#This Row],[STR]]="⮽",0,1)*2</f>
        <v>0</v>
      </c>
      <c r="M166" s="98">
        <f>IF(Table1[[#This Row],[MP]]="⮽",0,1)</f>
        <v>0</v>
      </c>
      <c r="N166" s="98">
        <f>IF(Table1[[#This Row],[ELE]]="⮽",0,1)</f>
        <v>0</v>
      </c>
      <c r="O166" s="98">
        <f>IF(Table1[[#This Row],[FP]]="⮽",0,1)</f>
        <v>0</v>
      </c>
      <c r="P166">
        <v>1</v>
      </c>
      <c r="Q166" t="s">
        <v>472</v>
      </c>
      <c r="R166" s="101">
        <f>IF(Table1[[#This Row],[Size (S, M, L)]]="S",2,IF(Table1[[#This Row],[Size (S, M, L)]]="L",1,4))</f>
        <v>2</v>
      </c>
      <c r="S166" t="s">
        <v>473</v>
      </c>
      <c r="T166" s="101">
        <f>IF(Table1[[#This Row],[TZone]]="EST",4,IF(Table1[[#This Row],[TZone]]="CST",3,IF(Table1[[#This Row],[TZone]]="MST",2,1)))</f>
        <v>2</v>
      </c>
      <c r="U166" t="s">
        <v>463</v>
      </c>
      <c r="V166" s="101">
        <f>IF(Table1[[#This Row],[Low-cost office?]]="Yes",-4,0)</f>
        <v>0</v>
      </c>
    </row>
    <row r="167" spans="1:22" x14ac:dyDescent="0.55000000000000004">
      <c r="A167" t="s">
        <v>605</v>
      </c>
      <c r="B16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6</v>
      </c>
      <c r="C167" t="s">
        <v>469</v>
      </c>
      <c r="D167" s="95" t="s">
        <v>470</v>
      </c>
      <c r="E167" s="94" t="s">
        <v>460</v>
      </c>
      <c r="F167" s="95" t="s">
        <v>470</v>
      </c>
      <c r="G167" s="95" t="s">
        <v>470</v>
      </c>
      <c r="H167" s="95" t="s">
        <v>470</v>
      </c>
      <c r="I167" s="95" t="s">
        <v>470</v>
      </c>
      <c r="J167" s="99">
        <f>IF(Table1[[#This Row],[CIV]]="⮽",0,1)*1.5</f>
        <v>0</v>
      </c>
      <c r="K167" s="99">
        <f>IF(Table1[[#This Row],[ARC]]="⮽",0,1)*3</f>
        <v>3</v>
      </c>
      <c r="L167" s="99">
        <f>IF(Table1[[#This Row],[STR]]="⮽",0,1)*2</f>
        <v>0</v>
      </c>
      <c r="M167" s="99">
        <f>IF(Table1[[#This Row],[MP]]="⮽",0,1)</f>
        <v>0</v>
      </c>
      <c r="N167" s="99">
        <f>IF(Table1[[#This Row],[ELE]]="⮽",0,1)</f>
        <v>0</v>
      </c>
      <c r="O167" s="99">
        <f>IF(Table1[[#This Row],[FP]]="⮽",0,1)</f>
        <v>0</v>
      </c>
      <c r="P167">
        <v>1</v>
      </c>
      <c r="Q167" t="s">
        <v>461</v>
      </c>
      <c r="R167" s="101">
        <f>IF(Table1[[#This Row],[Size (S, M, L)]]="S",2,IF(Table1[[#This Row],[Size (S, M, L)]]="L",1,4))</f>
        <v>4</v>
      </c>
      <c r="S167" t="s">
        <v>485</v>
      </c>
      <c r="T167" s="101">
        <f>IF(Table1[[#This Row],[TZone]]="EST",4,IF(Table1[[#This Row],[TZone]]="CST",3,IF(Table1[[#This Row],[TZone]]="MST",2,1)))</f>
        <v>1</v>
      </c>
      <c r="U167" t="s">
        <v>479</v>
      </c>
      <c r="V167" s="101">
        <f>IF(Table1[[#This Row],[Low-cost office?]]="Yes",-4,0)</f>
        <v>-4</v>
      </c>
    </row>
    <row r="168" spans="1:22" x14ac:dyDescent="0.55000000000000004">
      <c r="A168" t="s">
        <v>606</v>
      </c>
      <c r="B16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5</v>
      </c>
      <c r="C168" t="s">
        <v>469</v>
      </c>
      <c r="D168" s="95" t="s">
        <v>470</v>
      </c>
      <c r="E168" s="95" t="s">
        <v>470</v>
      </c>
      <c r="F168" s="95" t="s">
        <v>470</v>
      </c>
      <c r="G168" s="95" t="s">
        <v>460</v>
      </c>
      <c r="H168" s="95" t="s">
        <v>460</v>
      </c>
      <c r="I168" s="95" t="s">
        <v>470</v>
      </c>
      <c r="J168" s="99">
        <f>IF(Table1[[#This Row],[CIV]]="⮽",0,1)*1.5</f>
        <v>0</v>
      </c>
      <c r="K168" s="99">
        <f>IF(Table1[[#This Row],[ARC]]="⮽",0,1)*3</f>
        <v>0</v>
      </c>
      <c r="L168" s="99">
        <f>IF(Table1[[#This Row],[STR]]="⮽",0,1)*2</f>
        <v>0</v>
      </c>
      <c r="M168" s="99">
        <f>IF(Table1[[#This Row],[MP]]="⮽",0,1)</f>
        <v>1</v>
      </c>
      <c r="N168" s="99">
        <f>IF(Table1[[#This Row],[ELE]]="⮽",0,1)</f>
        <v>1</v>
      </c>
      <c r="O168" s="99">
        <f>IF(Table1[[#This Row],[FP]]="⮽",0,1)</f>
        <v>0</v>
      </c>
      <c r="P168">
        <v>2</v>
      </c>
      <c r="Q168" t="s">
        <v>472</v>
      </c>
      <c r="R168" s="101">
        <f>IF(Table1[[#This Row],[Size (S, M, L)]]="S",2,IF(Table1[[#This Row],[Size (S, M, L)]]="L",1,4))</f>
        <v>2</v>
      </c>
      <c r="S168" t="s">
        <v>485</v>
      </c>
      <c r="T168" s="101">
        <f>IF(Table1[[#This Row],[TZone]]="EST",4,IF(Table1[[#This Row],[TZone]]="CST",3,IF(Table1[[#This Row],[TZone]]="MST",2,1)))</f>
        <v>1</v>
      </c>
      <c r="U168" t="s">
        <v>479</v>
      </c>
      <c r="V168" s="101">
        <f>IF(Table1[[#This Row],[Low-cost office?]]="Yes",-4,0)</f>
        <v>-4</v>
      </c>
    </row>
    <row r="169" spans="1:22" x14ac:dyDescent="0.55000000000000004">
      <c r="A169" t="s">
        <v>607</v>
      </c>
      <c r="B16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5</v>
      </c>
      <c r="C169" t="s">
        <v>469</v>
      </c>
      <c r="D169" s="95" t="s">
        <v>470</v>
      </c>
      <c r="E169" s="94" t="s">
        <v>460</v>
      </c>
      <c r="F169" s="95" t="s">
        <v>470</v>
      </c>
      <c r="G169" s="95" t="s">
        <v>470</v>
      </c>
      <c r="H169" s="95" t="s">
        <v>470</v>
      </c>
      <c r="I169" s="95" t="s">
        <v>470</v>
      </c>
      <c r="J169" s="99">
        <f>IF(Table1[[#This Row],[CIV]]="⮽",0,1)*1.5</f>
        <v>0</v>
      </c>
      <c r="K169" s="99">
        <f>IF(Table1[[#This Row],[ARC]]="⮽",0,1)*3</f>
        <v>3</v>
      </c>
      <c r="L169" s="99">
        <f>IF(Table1[[#This Row],[STR]]="⮽",0,1)*2</f>
        <v>0</v>
      </c>
      <c r="M169" s="99">
        <f>IF(Table1[[#This Row],[MP]]="⮽",0,1)</f>
        <v>0</v>
      </c>
      <c r="N169" s="99">
        <f>IF(Table1[[#This Row],[ELE]]="⮽",0,1)</f>
        <v>0</v>
      </c>
      <c r="O169" s="99">
        <f>IF(Table1[[#This Row],[FP]]="⮽",0,1)</f>
        <v>0</v>
      </c>
      <c r="P169">
        <v>1</v>
      </c>
      <c r="Q169" t="s">
        <v>475</v>
      </c>
      <c r="R169" s="101">
        <f>IF(Table1[[#This Row],[Size (S, M, L)]]="S",2,IF(Table1[[#This Row],[Size (S, M, L)]]="L",1,4))</f>
        <v>1</v>
      </c>
      <c r="S169" t="s">
        <v>465</v>
      </c>
      <c r="T169" s="101">
        <f>IF(Table1[[#This Row],[TZone]]="EST",4,IF(Table1[[#This Row],[TZone]]="CST",3,IF(Table1[[#This Row],[TZone]]="MST",2,1)))</f>
        <v>3</v>
      </c>
      <c r="U169" t="s">
        <v>479</v>
      </c>
      <c r="V169" s="101">
        <f>IF(Table1[[#This Row],[Low-cost office?]]="Yes",-4,0)</f>
        <v>-4</v>
      </c>
    </row>
    <row r="170" spans="1:22" x14ac:dyDescent="0.55000000000000004">
      <c r="A170" t="s">
        <v>608</v>
      </c>
      <c r="B170" s="102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3.5</v>
      </c>
      <c r="C170" t="s">
        <v>469</v>
      </c>
      <c r="D170" s="95" t="s">
        <v>460</v>
      </c>
      <c r="E170" s="95" t="s">
        <v>470</v>
      </c>
      <c r="F170" s="95" t="s">
        <v>470</v>
      </c>
      <c r="G170" s="95" t="s">
        <v>470</v>
      </c>
      <c r="H170" s="95" t="s">
        <v>470</v>
      </c>
      <c r="I170" s="95" t="s">
        <v>470</v>
      </c>
      <c r="J170" s="100">
        <f>IF(Table1[[#This Row],[CIV]]="⮽",0,1)*1.5</f>
        <v>1.5</v>
      </c>
      <c r="K170" s="100">
        <f>IF(Table1[[#This Row],[ARC]]="⮽",0,1)*3</f>
        <v>0</v>
      </c>
      <c r="L170" s="100">
        <f>IF(Table1[[#This Row],[STR]]="⮽",0,1)*2</f>
        <v>0</v>
      </c>
      <c r="M170" s="100">
        <f>IF(Table1[[#This Row],[MP]]="⮽",0,1)</f>
        <v>0</v>
      </c>
      <c r="N170" s="100">
        <f>IF(Table1[[#This Row],[ELE]]="⮽",0,1)</f>
        <v>0</v>
      </c>
      <c r="O170" s="100">
        <f>IF(Table1[[#This Row],[FP]]="⮽",0,1)</f>
        <v>0</v>
      </c>
      <c r="P170">
        <v>1</v>
      </c>
      <c r="Q170" t="s">
        <v>475</v>
      </c>
      <c r="R170" s="102">
        <f>IF(Table1[[#This Row],[Size (S, M, L)]]="S",2,IF(Table1[[#This Row],[Size (S, M, L)]]="L",1,4))</f>
        <v>1</v>
      </c>
      <c r="S170" t="s">
        <v>465</v>
      </c>
      <c r="T170" s="102">
        <f>IF(Table1[[#This Row],[TZone]]="EST",4,IF(Table1[[#This Row],[TZone]]="CST",3,IF(Table1[[#This Row],[TZone]]="MST",2,1)))</f>
        <v>3</v>
      </c>
      <c r="U170" t="s">
        <v>479</v>
      </c>
      <c r="V170" s="102">
        <f>IF(Table1[[#This Row],[Low-cost office?]]="Yes",-4,0)</f>
        <v>-4</v>
      </c>
    </row>
  </sheetData>
  <conditionalFormatting sqref="B2:B170">
    <cfRule type="cellIs" dxfId="429" priority="1" operator="equal">
      <formula>"EST"</formula>
    </cfRule>
    <cfRule type="containsText" dxfId="428" priority="2" operator="containsText" text="CST">
      <formula>NOT(ISERROR(SEARCH("CST",B2)))</formula>
    </cfRule>
    <cfRule type="containsText" dxfId="427" priority="3" operator="containsText" text="MST">
      <formula>NOT(ISERROR(SEARCH("MST",B2)))</formula>
    </cfRule>
    <cfRule type="containsText" dxfId="426" priority="4" operator="containsText" text="PST">
      <formula>NOT(ISERROR(SEARCH("PST",B2)))</formula>
    </cfRule>
  </conditionalFormatting>
  <conditionalFormatting sqref="D2:I170">
    <cfRule type="containsText" dxfId="425" priority="33" operator="containsText" text="✓">
      <formula>NOT(ISERROR(SEARCH("✓",D2)))</formula>
    </cfRule>
    <cfRule type="containsText" dxfId="424" priority="32" operator="containsText" text="⮽">
      <formula>NOT(ISERROR(SEARCH("⮽",D2)))</formula>
    </cfRule>
  </conditionalFormatting>
  <conditionalFormatting sqref="J2:O170">
    <cfRule type="containsText" dxfId="423" priority="19" operator="containsText" text="✓">
      <formula>NOT(ISERROR(SEARCH("✓",J2)))</formula>
    </cfRule>
    <cfRule type="containsText" dxfId="422" priority="18" operator="containsText" text="⮽">
      <formula>NOT(ISERROR(SEARCH("⮽",J2)))</formula>
    </cfRule>
  </conditionalFormatting>
  <conditionalFormatting sqref="P2:P170">
    <cfRule type="cellIs" dxfId="421" priority="29" operator="equal">
      <formula>3</formula>
    </cfRule>
    <cfRule type="cellIs" dxfId="420" priority="30" operator="equal">
      <formula>2</formula>
    </cfRule>
    <cfRule type="cellIs" dxfId="419" priority="31" operator="equal">
      <formula>1</formula>
    </cfRule>
  </conditionalFormatting>
  <conditionalFormatting sqref="Q2:Q170">
    <cfRule type="containsText" dxfId="418" priority="26" operator="containsText" text="M">
      <formula>NOT(ISERROR(SEARCH("M",Q2)))</formula>
    </cfRule>
    <cfRule type="containsText" dxfId="417" priority="27" operator="containsText" text="L">
      <formula>NOT(ISERROR(SEARCH("L",Q2)))</formula>
    </cfRule>
    <cfRule type="containsText" dxfId="416" priority="28" operator="containsText" text="S">
      <formula>NOT(ISERROR(SEARCH("S",Q2)))</formula>
    </cfRule>
  </conditionalFormatting>
  <conditionalFormatting sqref="R2:R170">
    <cfRule type="containsText" dxfId="415" priority="15" operator="containsText" text="M">
      <formula>NOT(ISERROR(SEARCH("M",R2)))</formula>
    </cfRule>
    <cfRule type="containsText" dxfId="414" priority="16" operator="containsText" text="L">
      <formula>NOT(ISERROR(SEARCH("L",R2)))</formula>
    </cfRule>
    <cfRule type="containsText" dxfId="413" priority="17" operator="containsText" text="S">
      <formula>NOT(ISERROR(SEARCH("S",R2)))</formula>
    </cfRule>
  </conditionalFormatting>
  <conditionalFormatting sqref="S2:S170 U2:U170">
    <cfRule type="containsText" dxfId="412" priority="24" operator="containsText" text="MST">
      <formula>NOT(ISERROR(SEARCH("MST",S2)))</formula>
    </cfRule>
    <cfRule type="containsText" dxfId="411" priority="25" operator="containsText" text="PST">
      <formula>NOT(ISERROR(SEARCH("PST",S2)))</formula>
    </cfRule>
  </conditionalFormatting>
  <conditionalFormatting sqref="T2:T170">
    <cfRule type="cellIs" dxfId="410" priority="11" operator="equal">
      <formula>"EST"</formula>
    </cfRule>
    <cfRule type="containsText" dxfId="409" priority="12" operator="containsText" text="CST">
      <formula>NOT(ISERROR(SEARCH("CST",T2)))</formula>
    </cfRule>
    <cfRule type="containsText" dxfId="408" priority="13" operator="containsText" text="MST">
      <formula>NOT(ISERROR(SEARCH("MST",T2)))</formula>
    </cfRule>
    <cfRule type="containsText" dxfId="407" priority="14" operator="containsText" text="PST">
      <formula>NOT(ISERROR(SEARCH("PST",T2)))</formula>
    </cfRule>
  </conditionalFormatting>
  <conditionalFormatting sqref="U2:U170 S2:S170">
    <cfRule type="cellIs" dxfId="406" priority="22" operator="equal">
      <formula>"EST"</formula>
    </cfRule>
    <cfRule type="containsText" dxfId="405" priority="23" operator="containsText" text="CST">
      <formula>NOT(ISERROR(SEARCH("CST",S2)))</formula>
    </cfRule>
  </conditionalFormatting>
  <conditionalFormatting sqref="U2:U170">
    <cfRule type="containsText" dxfId="404" priority="20" operator="containsText" text="No">
      <formula>NOT(ISERROR(SEARCH("No",U2)))</formula>
    </cfRule>
    <cfRule type="containsText" dxfId="403" priority="21" operator="containsText" text="Yes">
      <formula>NOT(ISERROR(SEARCH("Yes",U2)))</formula>
    </cfRule>
  </conditionalFormatting>
  <conditionalFormatting sqref="V2:V170">
    <cfRule type="containsText" dxfId="402" priority="5" operator="containsText" text="No">
      <formula>NOT(ISERROR(SEARCH("No",V2)))</formula>
    </cfRule>
    <cfRule type="containsText" dxfId="401" priority="6" operator="containsText" text="Yes">
      <formula>NOT(ISERROR(SEARCH("Yes",V2)))</formula>
    </cfRule>
    <cfRule type="cellIs" dxfId="400" priority="7" operator="equal">
      <formula>"EST"</formula>
    </cfRule>
    <cfRule type="containsText" dxfId="399" priority="8" operator="containsText" text="CST">
      <formula>NOT(ISERROR(SEARCH("CST",V2)))</formula>
    </cfRule>
    <cfRule type="containsText" dxfId="398" priority="9" operator="containsText" text="MST">
      <formula>NOT(ISERROR(SEARCH("MST",V2)))</formula>
    </cfRule>
    <cfRule type="containsText" dxfId="397" priority="10" operator="containsText" text="PST">
      <formula>NOT(ISERROR(SEARCH("PST",V2)))</formula>
    </cfRule>
  </conditionalFormatting>
  <dataValidations count="3">
    <dataValidation type="list" allowBlank="1" showInputMessage="1" showErrorMessage="1" sqref="Q2:Q170" xr:uid="{91D49746-D573-4492-8089-5CAD065D1FC7}">
      <formula1>"S,M,L"</formula1>
    </dataValidation>
    <dataValidation type="list" allowBlank="1" showInputMessage="1" showErrorMessage="1" sqref="P2:P170" xr:uid="{C0DEC001-1E24-43B6-8DA7-9F32557C6196}">
      <formula1>"1,2,3"</formula1>
    </dataValidation>
    <dataValidation type="list" allowBlank="1" showInputMessage="1" showErrorMessage="1" sqref="U2:U170" xr:uid="{14AE010C-EEFF-4110-8F89-15514920F074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FD91-D9F9-496D-9EE9-5FC02FEC20BA}">
  <dimension ref="A1:X166"/>
  <sheetViews>
    <sheetView workbookViewId="0">
      <selection activeCell="W4" sqref="W4"/>
    </sheetView>
  </sheetViews>
  <sheetFormatPr defaultColWidth="8.83984375" defaultRowHeight="14.4" x14ac:dyDescent="0.55000000000000004"/>
  <cols>
    <col min="1" max="1" width="37.68359375" customWidth="1"/>
    <col min="3" max="3" width="12.68359375" customWidth="1"/>
    <col min="10" max="15" width="0" hidden="1" customWidth="1"/>
    <col min="18" max="18" width="0" hidden="1" customWidth="1"/>
    <col min="20" max="20" width="0" hidden="1" customWidth="1"/>
    <col min="22" max="22" width="0" hidden="1" customWidth="1"/>
  </cols>
  <sheetData>
    <row r="1" spans="1:24" ht="43.2" x14ac:dyDescent="0.55000000000000004">
      <c r="A1" s="103" t="s">
        <v>436</v>
      </c>
      <c r="B1" s="103" t="s">
        <v>437</v>
      </c>
      <c r="C1" s="103" t="s">
        <v>438</v>
      </c>
      <c r="D1" s="103" t="s">
        <v>439</v>
      </c>
      <c r="E1" s="103" t="s">
        <v>440</v>
      </c>
      <c r="F1" s="103" t="s">
        <v>441</v>
      </c>
      <c r="G1" s="103" t="s">
        <v>442</v>
      </c>
      <c r="H1" s="103" t="s">
        <v>443</v>
      </c>
      <c r="I1" s="103" t="s">
        <v>444</v>
      </c>
      <c r="J1" s="103" t="s">
        <v>445</v>
      </c>
      <c r="K1" s="103" t="s">
        <v>446</v>
      </c>
      <c r="L1" s="103" t="s">
        <v>447</v>
      </c>
      <c r="M1" s="103" t="s">
        <v>448</v>
      </c>
      <c r="N1" s="103" t="s">
        <v>449</v>
      </c>
      <c r="O1" s="103" t="s">
        <v>450</v>
      </c>
      <c r="P1" s="103" t="s">
        <v>451</v>
      </c>
      <c r="Q1" s="103" t="s">
        <v>452</v>
      </c>
      <c r="R1" s="103" t="s">
        <v>453</v>
      </c>
      <c r="S1" s="103" t="s">
        <v>454</v>
      </c>
      <c r="T1" s="103" t="s">
        <v>455</v>
      </c>
      <c r="U1" s="103" t="s">
        <v>456</v>
      </c>
      <c r="V1" s="103" t="s">
        <v>457</v>
      </c>
      <c r="W1" s="103" t="s">
        <v>458</v>
      </c>
      <c r="X1" s="103" t="s">
        <v>609</v>
      </c>
    </row>
    <row r="2" spans="1:24" x14ac:dyDescent="0.55000000000000004">
      <c r="A2" s="104" t="s">
        <v>60</v>
      </c>
      <c r="B2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23.5</v>
      </c>
      <c r="C2" t="s">
        <v>459</v>
      </c>
      <c r="D2" s="94" t="s">
        <v>460</v>
      </c>
      <c r="E2" s="94" t="s">
        <v>460</v>
      </c>
      <c r="F2" s="94" t="s">
        <v>460</v>
      </c>
      <c r="G2" s="94" t="s">
        <v>460</v>
      </c>
      <c r="H2" s="94" t="s">
        <v>460</v>
      </c>
      <c r="I2" s="94" t="s">
        <v>460</v>
      </c>
      <c r="J2" s="94">
        <f>IF(Table1[[#This Row],[CIV]]="⮽",0,1)*1.5</f>
        <v>1.5</v>
      </c>
      <c r="K2" s="94">
        <f>IF(Table1[[#This Row],[ARC]]="⮽",0,1)*3</f>
        <v>3</v>
      </c>
      <c r="L2" s="94">
        <f>IF(Table1[[#This Row],[STR]]="⮽",0,1)*2</f>
        <v>2</v>
      </c>
      <c r="M2" s="94">
        <f>IF(Table1[[#This Row],[MP]]="⮽",0,1)</f>
        <v>1</v>
      </c>
      <c r="N2" s="94">
        <f>IF(Table1[[#This Row],[ELE]]="⮽",0,1)</f>
        <v>1</v>
      </c>
      <c r="O2" s="94">
        <f>IF(Table1[[#This Row],[FP]]="⮽",0,1)</f>
        <v>1</v>
      </c>
      <c r="P2">
        <v>3</v>
      </c>
      <c r="Q2" t="s">
        <v>461</v>
      </c>
      <c r="R2">
        <f>IF(Table1[[#This Row],[Size (S, M, L)]]="S",2,IF(Table1[[#This Row],[Size (S, M, L)]]="L",1,4))</f>
        <v>4</v>
      </c>
      <c r="S2" t="s">
        <v>462</v>
      </c>
      <c r="T2">
        <f>IF(Table1[[#This Row],[TZone]]="EST",4,IF(Table1[[#This Row],[TZone]]="CST",3,IF(Table1[[#This Row],[TZone]]="MST",2,1)))</f>
        <v>4</v>
      </c>
      <c r="U2" t="s">
        <v>463</v>
      </c>
      <c r="V2">
        <f>IF(Table1[[#This Row],[Low-cost office?]]="Yes",-4,0)</f>
        <v>0</v>
      </c>
      <c r="X2" t="s">
        <v>479</v>
      </c>
    </row>
    <row r="3" spans="1:24" x14ac:dyDescent="0.55000000000000004">
      <c r="A3" s="104" t="s">
        <v>228</v>
      </c>
      <c r="B3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23.5</v>
      </c>
      <c r="C3" t="s">
        <v>459</v>
      </c>
      <c r="D3" s="95" t="s">
        <v>460</v>
      </c>
      <c r="E3" s="95" t="s">
        <v>460</v>
      </c>
      <c r="F3" s="95" t="s">
        <v>460</v>
      </c>
      <c r="G3" s="95" t="s">
        <v>460</v>
      </c>
      <c r="H3" s="95" t="s">
        <v>460</v>
      </c>
      <c r="I3" s="95" t="s">
        <v>460</v>
      </c>
      <c r="J3" s="95">
        <f>IF(Table1[[#This Row],[CIV]]="⮽",0,1)*1.5</f>
        <v>1.5</v>
      </c>
      <c r="K3" s="95">
        <f>IF(Table1[[#This Row],[ARC]]="⮽",0,1)*3</f>
        <v>3</v>
      </c>
      <c r="L3" s="95">
        <f>IF(Table1[[#This Row],[STR]]="⮽",0,1)*2</f>
        <v>2</v>
      </c>
      <c r="M3" s="95">
        <f>IF(Table1[[#This Row],[MP]]="⮽",0,1)</f>
        <v>1</v>
      </c>
      <c r="N3" s="95">
        <f>IF(Table1[[#This Row],[ELE]]="⮽",0,1)</f>
        <v>1</v>
      </c>
      <c r="O3" s="95">
        <f>IF(Table1[[#This Row],[FP]]="⮽",0,1)</f>
        <v>1</v>
      </c>
      <c r="P3">
        <v>3</v>
      </c>
      <c r="Q3" t="s">
        <v>461</v>
      </c>
      <c r="R3">
        <f>IF(Table1[[#This Row],[Size (S, M, L)]]="S",2,IF(Table1[[#This Row],[Size (S, M, L)]]="L",1,4))</f>
        <v>4</v>
      </c>
      <c r="S3" t="s">
        <v>465</v>
      </c>
      <c r="T3">
        <f>IF(Table1[[#This Row],[TZone]]="EST",4,IF(Table1[[#This Row],[TZone]]="CST",3,IF(Table1[[#This Row],[TZone]]="MST",2,1)))</f>
        <v>4</v>
      </c>
      <c r="U3" t="s">
        <v>463</v>
      </c>
      <c r="V3">
        <f>IF(Table1[[#This Row],[Low-cost office?]]="Yes",-4,0)</f>
        <v>0</v>
      </c>
      <c r="X3" t="s">
        <v>479</v>
      </c>
    </row>
    <row r="4" spans="1:24" x14ac:dyDescent="0.55000000000000004">
      <c r="A4" s="104" t="s">
        <v>466</v>
      </c>
      <c r="B4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22.5</v>
      </c>
      <c r="C4" t="s">
        <v>467</v>
      </c>
      <c r="D4" s="95" t="s">
        <v>460</v>
      </c>
      <c r="E4" s="95" t="s">
        <v>460</v>
      </c>
      <c r="F4" s="95" t="s">
        <v>460</v>
      </c>
      <c r="G4" s="95" t="s">
        <v>460</v>
      </c>
      <c r="H4" s="95" t="s">
        <v>460</v>
      </c>
      <c r="I4" s="95" t="s">
        <v>460</v>
      </c>
      <c r="J4" s="95">
        <f>IF(Table1[[#This Row],[CIV]]="⮽",0,1)*1.5</f>
        <v>1.5</v>
      </c>
      <c r="K4" s="95">
        <f>IF(Table1[[#This Row],[ARC]]="⮽",0,1)*3</f>
        <v>3</v>
      </c>
      <c r="L4" s="95">
        <f>IF(Table1[[#This Row],[STR]]="⮽",0,1)*2</f>
        <v>2</v>
      </c>
      <c r="M4" s="95">
        <f>IF(Table1[[#This Row],[MP]]="⮽",0,1)</f>
        <v>1</v>
      </c>
      <c r="N4" s="95">
        <f>IF(Table1[[#This Row],[ELE]]="⮽",0,1)</f>
        <v>1</v>
      </c>
      <c r="O4" s="95">
        <f>IF(Table1[[#This Row],[FP]]="⮽",0,1)</f>
        <v>1</v>
      </c>
      <c r="P4">
        <v>3</v>
      </c>
      <c r="Q4" t="s">
        <v>461</v>
      </c>
      <c r="R4">
        <f>IF(Table1[[#This Row],[Size (S, M, L)]]="S",2,IF(Table1[[#This Row],[Size (S, M, L)]]="L",1,4))</f>
        <v>4</v>
      </c>
      <c r="S4" t="s">
        <v>465</v>
      </c>
      <c r="T4">
        <f>IF(Table1[[#This Row],[TZone]]="EST",4,IF(Table1[[#This Row],[TZone]]="CST",3,IF(Table1[[#This Row],[TZone]]="MST",2,1)))</f>
        <v>3</v>
      </c>
      <c r="U4" t="s">
        <v>463</v>
      </c>
      <c r="V4">
        <f>IF(Table1[[#This Row],[Low-cost office?]]="Yes",-4,0)</f>
        <v>0</v>
      </c>
      <c r="X4" t="s">
        <v>479</v>
      </c>
    </row>
    <row r="5" spans="1:24" x14ac:dyDescent="0.55000000000000004">
      <c r="A5" t="s">
        <v>468</v>
      </c>
      <c r="B5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22.5</v>
      </c>
      <c r="C5" t="s">
        <v>469</v>
      </c>
      <c r="D5" s="95" t="s">
        <v>460</v>
      </c>
      <c r="E5" s="95" t="s">
        <v>460</v>
      </c>
      <c r="F5" s="95" t="s">
        <v>460</v>
      </c>
      <c r="G5" s="95" t="s">
        <v>460</v>
      </c>
      <c r="H5" s="95" t="s">
        <v>460</v>
      </c>
      <c r="I5" s="94" t="s">
        <v>470</v>
      </c>
      <c r="J5" s="94">
        <f>IF(Table1[[#This Row],[CIV]]="⮽",0,1)*1.5</f>
        <v>1.5</v>
      </c>
      <c r="K5" s="94">
        <f>IF(Table1[[#This Row],[ARC]]="⮽",0,1)*3</f>
        <v>3</v>
      </c>
      <c r="L5" s="94">
        <f>IF(Table1[[#This Row],[STR]]="⮽",0,1)*2</f>
        <v>2</v>
      </c>
      <c r="M5" s="94">
        <f>IF(Table1[[#This Row],[MP]]="⮽",0,1)</f>
        <v>1</v>
      </c>
      <c r="N5" s="94">
        <f>IF(Table1[[#This Row],[ELE]]="⮽",0,1)</f>
        <v>1</v>
      </c>
      <c r="O5" s="94">
        <f>IF(Table1[[#This Row],[FP]]="⮽",0,1)</f>
        <v>1</v>
      </c>
      <c r="P5">
        <v>3</v>
      </c>
      <c r="Q5" t="s">
        <v>461</v>
      </c>
      <c r="R5">
        <f>IF(Table1[[#This Row],[Size (S, M, L)]]="S",2,IF(Table1[[#This Row],[Size (S, M, L)]]="L",1,4))</f>
        <v>4</v>
      </c>
      <c r="S5" t="s">
        <v>462</v>
      </c>
      <c r="T5">
        <f>IF(Table1[[#This Row],[TZone]]="EST",4,IF(Table1[[#This Row],[TZone]]="CST",3,IF(Table1[[#This Row],[TZone]]="MST",2,1)))</f>
        <v>3</v>
      </c>
      <c r="U5" t="s">
        <v>463</v>
      </c>
      <c r="V5">
        <f>IF(Table1[[#This Row],[Low-cost office?]]="Yes",-4,0)</f>
        <v>0</v>
      </c>
      <c r="X5" t="s">
        <v>479</v>
      </c>
    </row>
    <row r="6" spans="1:24" x14ac:dyDescent="0.55000000000000004">
      <c r="A6" t="s">
        <v>610</v>
      </c>
      <c r="B6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22.5</v>
      </c>
      <c r="C6" t="s">
        <v>469</v>
      </c>
      <c r="D6" s="94" t="s">
        <v>460</v>
      </c>
      <c r="E6" s="94" t="s">
        <v>460</v>
      </c>
      <c r="F6" s="94" t="s">
        <v>460</v>
      </c>
      <c r="G6" s="94" t="s">
        <v>460</v>
      </c>
      <c r="H6" s="94" t="s">
        <v>460</v>
      </c>
      <c r="I6" s="94" t="s">
        <v>460</v>
      </c>
      <c r="J6" s="95">
        <f>IF(Table1[[#This Row],[CIV]]="⮽",0,1)*1.5</f>
        <v>1.5</v>
      </c>
      <c r="K6" s="95">
        <f>IF(Table1[[#This Row],[ARC]]="⮽",0,1)*3</f>
        <v>3</v>
      </c>
      <c r="L6" s="95">
        <f>IF(Table1[[#This Row],[STR]]="⮽",0,1)*2</f>
        <v>2</v>
      </c>
      <c r="M6" s="95">
        <f>IF(Table1[[#This Row],[MP]]="⮽",0,1)</f>
        <v>1</v>
      </c>
      <c r="N6" s="95">
        <f>IF(Table1[[#This Row],[ELE]]="⮽",0,1)</f>
        <v>1</v>
      </c>
      <c r="O6" s="95">
        <f>IF(Table1[[#This Row],[FP]]="⮽",0,1)</f>
        <v>0</v>
      </c>
      <c r="P6">
        <v>3</v>
      </c>
      <c r="Q6" t="s">
        <v>461</v>
      </c>
      <c r="R6">
        <f>IF(Table1[[#This Row],[Size (S, M, L)]]="S",2,IF(Table1[[#This Row],[Size (S, M, L)]]="L",1,4))</f>
        <v>4</v>
      </c>
      <c r="S6" t="s">
        <v>465</v>
      </c>
      <c r="T6">
        <f>IF(Table1[[#This Row],[TZone]]="EST",4,IF(Table1[[#This Row],[TZone]]="CST",3,IF(Table1[[#This Row],[TZone]]="MST",2,1)))</f>
        <v>4</v>
      </c>
      <c r="U6" t="s">
        <v>463</v>
      </c>
      <c r="V6">
        <f>IF(Table1[[#This Row],[Low-cost office?]]="Yes",-4,0)</f>
        <v>0</v>
      </c>
      <c r="X6" t="s">
        <v>463</v>
      </c>
    </row>
    <row r="7" spans="1:24" x14ac:dyDescent="0.55000000000000004">
      <c r="A7" t="s">
        <v>611</v>
      </c>
      <c r="B7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21.5</v>
      </c>
      <c r="C7" t="s">
        <v>469</v>
      </c>
      <c r="D7" s="94" t="s">
        <v>460</v>
      </c>
      <c r="E7" s="94" t="s">
        <v>460</v>
      </c>
      <c r="F7" s="94" t="s">
        <v>460</v>
      </c>
      <c r="G7" s="94" t="s">
        <v>460</v>
      </c>
      <c r="H7" s="94" t="s">
        <v>460</v>
      </c>
      <c r="I7" s="94" t="s">
        <v>460</v>
      </c>
      <c r="J7" s="105">
        <f>IF(Table1[[#This Row],[CIV]]="⮽",0,1)*1.5</f>
        <v>1.5</v>
      </c>
      <c r="K7" s="105">
        <f>IF(Table1[[#This Row],[ARC]]="⮽",0,1)*3</f>
        <v>3</v>
      </c>
      <c r="L7" s="105">
        <f>IF(Table1[[#This Row],[STR]]="⮽",0,1)*2</f>
        <v>2</v>
      </c>
      <c r="M7" s="105">
        <f>IF(Table1[[#This Row],[MP]]="⮽",0,1)</f>
        <v>1</v>
      </c>
      <c r="N7" s="105">
        <f>IF(Table1[[#This Row],[ELE]]="⮽",0,1)</f>
        <v>1</v>
      </c>
      <c r="O7" s="105">
        <f>IF(Table1[[#This Row],[FP]]="⮽",0,1)</f>
        <v>1</v>
      </c>
      <c r="P7">
        <v>3</v>
      </c>
      <c r="Q7" t="s">
        <v>461</v>
      </c>
      <c r="R7">
        <f>IF(Table1[[#This Row],[Size (S, M, L)]]="S",2,IF(Table1[[#This Row],[Size (S, M, L)]]="L",1,4))</f>
        <v>4</v>
      </c>
      <c r="S7" t="s">
        <v>465</v>
      </c>
      <c r="T7">
        <f>IF(Table1[[#This Row],[TZone]]="EST",4,IF(Table1[[#This Row],[TZone]]="CST",3,IF(Table1[[#This Row],[TZone]]="MST",2,1)))</f>
        <v>4</v>
      </c>
      <c r="U7" t="s">
        <v>463</v>
      </c>
      <c r="V7">
        <f>IF(Table1[[#This Row],[Low-cost office?]]="Yes",-4,0)</f>
        <v>0</v>
      </c>
      <c r="X7" t="s">
        <v>463</v>
      </c>
    </row>
    <row r="8" spans="1:24" x14ac:dyDescent="0.55000000000000004">
      <c r="A8" t="s">
        <v>612</v>
      </c>
      <c r="B8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21.5</v>
      </c>
      <c r="C8" t="s">
        <v>469</v>
      </c>
      <c r="D8" s="95" t="s">
        <v>470</v>
      </c>
      <c r="E8" s="94" t="s">
        <v>460</v>
      </c>
      <c r="F8" s="94" t="s">
        <v>460</v>
      </c>
      <c r="G8" s="94" t="s">
        <v>460</v>
      </c>
      <c r="H8" s="94" t="s">
        <v>460</v>
      </c>
      <c r="I8" s="94" t="s">
        <v>460</v>
      </c>
      <c r="J8" s="95">
        <f>IF(Table1[[#This Row],[CIV]]="⮽",0,1)*1.5</f>
        <v>1.5</v>
      </c>
      <c r="K8" s="95">
        <f>IF(Table1[[#This Row],[ARC]]="⮽",0,1)*3</f>
        <v>3</v>
      </c>
      <c r="L8" s="95">
        <f>IF(Table1[[#This Row],[STR]]="⮽",0,1)*2</f>
        <v>2</v>
      </c>
      <c r="M8" s="95">
        <f>IF(Table1[[#This Row],[MP]]="⮽",0,1)</f>
        <v>1</v>
      </c>
      <c r="N8" s="95">
        <f>IF(Table1[[#This Row],[ELE]]="⮽",0,1)</f>
        <v>1</v>
      </c>
      <c r="O8" s="95">
        <f>IF(Table1[[#This Row],[FP]]="⮽",0,1)</f>
        <v>0</v>
      </c>
      <c r="P8">
        <v>3</v>
      </c>
      <c r="Q8" t="s">
        <v>461</v>
      </c>
      <c r="R8">
        <f>IF(Table1[[#This Row],[Size (S, M, L)]]="S",2,IF(Table1[[#This Row],[Size (S, M, L)]]="L",1,4))</f>
        <v>4</v>
      </c>
      <c r="S8" t="s">
        <v>462</v>
      </c>
      <c r="T8">
        <f>IF(Table1[[#This Row],[TZone]]="EST",4,IF(Table1[[#This Row],[TZone]]="CST",3,IF(Table1[[#This Row],[TZone]]="MST",2,1)))</f>
        <v>3</v>
      </c>
      <c r="U8" t="s">
        <v>463</v>
      </c>
      <c r="V8">
        <f>IF(Table1[[#This Row],[Low-cost office?]]="Yes",-4,0)</f>
        <v>0</v>
      </c>
      <c r="X8" t="s">
        <v>463</v>
      </c>
    </row>
    <row r="9" spans="1:24" x14ac:dyDescent="0.55000000000000004">
      <c r="A9" s="104" t="s">
        <v>108</v>
      </c>
      <c r="B9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21.5</v>
      </c>
      <c r="C9" t="s">
        <v>459</v>
      </c>
      <c r="D9" s="94" t="s">
        <v>460</v>
      </c>
      <c r="E9" s="94" t="s">
        <v>460</v>
      </c>
      <c r="F9" s="94" t="s">
        <v>460</v>
      </c>
      <c r="G9" s="94" t="s">
        <v>460</v>
      </c>
      <c r="H9" s="94" t="s">
        <v>460</v>
      </c>
      <c r="I9" s="94" t="s">
        <v>460</v>
      </c>
      <c r="J9" s="95">
        <f>IF(Table1[[#This Row],[CIV]]="⮽",0,1)*1.5</f>
        <v>1.5</v>
      </c>
      <c r="K9" s="95">
        <f>IF(Table1[[#This Row],[ARC]]="⮽",0,1)*3</f>
        <v>3</v>
      </c>
      <c r="L9" s="95">
        <f>IF(Table1[[#This Row],[STR]]="⮽",0,1)*2</f>
        <v>2</v>
      </c>
      <c r="M9" s="95">
        <f>IF(Table1[[#This Row],[MP]]="⮽",0,1)</f>
        <v>1</v>
      </c>
      <c r="N9" s="95">
        <f>IF(Table1[[#This Row],[ELE]]="⮽",0,1)</f>
        <v>1</v>
      </c>
      <c r="O9" s="95">
        <f>IF(Table1[[#This Row],[FP]]="⮽",0,1)</f>
        <v>1</v>
      </c>
      <c r="P9">
        <v>2</v>
      </c>
      <c r="Q9" t="s">
        <v>461</v>
      </c>
      <c r="R9">
        <f>IF(Table1[[#This Row],[Size (S, M, L)]]="S",2,IF(Table1[[#This Row],[Size (S, M, L)]]="L",1,4))</f>
        <v>4</v>
      </c>
      <c r="S9" t="s">
        <v>462</v>
      </c>
      <c r="T9">
        <f>IF(Table1[[#This Row],[TZone]]="EST",4,IF(Table1[[#This Row],[TZone]]="CST",3,IF(Table1[[#This Row],[TZone]]="MST",2,1)))</f>
        <v>4</v>
      </c>
      <c r="U9" t="s">
        <v>463</v>
      </c>
      <c r="V9">
        <f>IF(Table1[[#This Row],[Low-cost office?]]="Yes",-4,0)</f>
        <v>0</v>
      </c>
      <c r="X9" t="s">
        <v>479</v>
      </c>
    </row>
    <row r="10" spans="1:24" x14ac:dyDescent="0.55000000000000004">
      <c r="A10" s="104" t="s">
        <v>613</v>
      </c>
      <c r="B10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21</v>
      </c>
      <c r="C10" t="s">
        <v>467</v>
      </c>
      <c r="D10" s="95" t="s">
        <v>460</v>
      </c>
      <c r="E10" s="95" t="s">
        <v>460</v>
      </c>
      <c r="F10" s="95" t="s">
        <v>460</v>
      </c>
      <c r="G10" s="95" t="s">
        <v>460</v>
      </c>
      <c r="H10" s="95" t="s">
        <v>460</v>
      </c>
      <c r="I10" s="95" t="s">
        <v>470</v>
      </c>
      <c r="J10" s="95">
        <f>IF(Table1[[#This Row],[CIV]]="⮽",0,1)*1.5</f>
        <v>0</v>
      </c>
      <c r="K10" s="95">
        <f>IF(Table1[[#This Row],[ARC]]="⮽",0,1)*3</f>
        <v>3</v>
      </c>
      <c r="L10" s="95">
        <f>IF(Table1[[#This Row],[STR]]="⮽",0,1)*2</f>
        <v>2</v>
      </c>
      <c r="M10" s="95">
        <f>IF(Table1[[#This Row],[MP]]="⮽",0,1)</f>
        <v>1</v>
      </c>
      <c r="N10" s="95">
        <f>IF(Table1[[#This Row],[ELE]]="⮽",0,1)</f>
        <v>1</v>
      </c>
      <c r="O10" s="95">
        <f>IF(Table1[[#This Row],[FP]]="⮽",0,1)</f>
        <v>0</v>
      </c>
      <c r="P10">
        <v>3</v>
      </c>
      <c r="Q10" t="s">
        <v>461</v>
      </c>
      <c r="R10">
        <f>IF(Table1[[#This Row],[Size (S, M, L)]]="S",2,IF(Table1[[#This Row],[Size (S, M, L)]]="L",1,4))</f>
        <v>4</v>
      </c>
      <c r="S10" t="s">
        <v>465</v>
      </c>
      <c r="T10">
        <f>IF(Table1[[#This Row],[TZone]]="EST",4,IF(Table1[[#This Row],[TZone]]="CST",3,IF(Table1[[#This Row],[TZone]]="MST",2,1)))</f>
        <v>4</v>
      </c>
      <c r="U10" t="s">
        <v>463</v>
      </c>
      <c r="V10">
        <f>IF(Table1[[#This Row],[Low-cost office?]]="Yes",-4,0)</f>
        <v>0</v>
      </c>
      <c r="X10" t="s">
        <v>479</v>
      </c>
    </row>
    <row r="11" spans="1:24" x14ac:dyDescent="0.55000000000000004">
      <c r="A11" t="s">
        <v>69</v>
      </c>
      <c r="B1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20.5</v>
      </c>
      <c r="C11" t="s">
        <v>469</v>
      </c>
      <c r="D11" s="95" t="s">
        <v>460</v>
      </c>
      <c r="E11" s="95" t="s">
        <v>460</v>
      </c>
      <c r="F11" s="95" t="s">
        <v>460</v>
      </c>
      <c r="G11" s="95" t="s">
        <v>460</v>
      </c>
      <c r="H11" s="95" t="s">
        <v>460</v>
      </c>
      <c r="I11" s="95" t="s">
        <v>460</v>
      </c>
      <c r="J11" s="95">
        <f>IF(Table1[[#This Row],[CIV]]="⮽",0,1)*1.5</f>
        <v>1.5</v>
      </c>
      <c r="K11" s="95">
        <f>IF(Table1[[#This Row],[ARC]]="⮽",0,1)*3</f>
        <v>3</v>
      </c>
      <c r="L11" s="95">
        <f>IF(Table1[[#This Row],[STR]]="⮽",0,1)*2</f>
        <v>2</v>
      </c>
      <c r="M11" s="95">
        <f>IF(Table1[[#This Row],[MP]]="⮽",0,1)</f>
        <v>1</v>
      </c>
      <c r="N11" s="95">
        <f>IF(Table1[[#This Row],[ELE]]="⮽",0,1)</f>
        <v>1</v>
      </c>
      <c r="O11" s="95">
        <f>IF(Table1[[#This Row],[FP]]="⮽",0,1)</f>
        <v>1</v>
      </c>
      <c r="P11">
        <v>2</v>
      </c>
      <c r="Q11" t="s">
        <v>461</v>
      </c>
      <c r="R11">
        <f>IF(Table1[[#This Row],[Size (S, M, L)]]="S",2,IF(Table1[[#This Row],[Size (S, M, L)]]="L",1,4))</f>
        <v>2</v>
      </c>
      <c r="S11" t="s">
        <v>462</v>
      </c>
      <c r="T11">
        <f>IF(Table1[[#This Row],[TZone]]="EST",4,IF(Table1[[#This Row],[TZone]]="CST",3,IF(Table1[[#This Row],[TZone]]="MST",2,1)))</f>
        <v>3</v>
      </c>
      <c r="U11" t="s">
        <v>463</v>
      </c>
      <c r="V11">
        <f>IF(Table1[[#This Row],[Low-cost office?]]="Yes",-4,0)</f>
        <v>0</v>
      </c>
      <c r="X11" t="s">
        <v>479</v>
      </c>
    </row>
    <row r="12" spans="1:24" x14ac:dyDescent="0.55000000000000004">
      <c r="A12" s="104" t="s">
        <v>101</v>
      </c>
      <c r="B12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20.5</v>
      </c>
      <c r="C12" t="s">
        <v>459</v>
      </c>
      <c r="D12" s="95" t="s">
        <v>470</v>
      </c>
      <c r="E12" s="94" t="s">
        <v>460</v>
      </c>
      <c r="F12" s="94" t="s">
        <v>460</v>
      </c>
      <c r="G12" s="94" t="s">
        <v>460</v>
      </c>
      <c r="H12" s="94" t="s">
        <v>460</v>
      </c>
      <c r="I12" s="95" t="s">
        <v>470</v>
      </c>
      <c r="J12" s="95">
        <f>IF(Table1[[#This Row],[CIV]]="⮽",0,1)*1.5</f>
        <v>1.5</v>
      </c>
      <c r="K12" s="95">
        <f>IF(Table1[[#This Row],[ARC]]="⮽",0,1)*3</f>
        <v>3</v>
      </c>
      <c r="L12" s="95">
        <f>IF(Table1[[#This Row],[STR]]="⮽",0,1)*2</f>
        <v>2</v>
      </c>
      <c r="M12" s="95">
        <f>IF(Table1[[#This Row],[MP]]="⮽",0,1)</f>
        <v>1</v>
      </c>
      <c r="N12" s="95">
        <f>IF(Table1[[#This Row],[ELE]]="⮽",0,1)</f>
        <v>1</v>
      </c>
      <c r="O12" s="95">
        <f>IF(Table1[[#This Row],[FP]]="⮽",0,1)</f>
        <v>0</v>
      </c>
      <c r="P12">
        <v>3</v>
      </c>
      <c r="Q12" t="s">
        <v>461</v>
      </c>
      <c r="R12">
        <f>IF(Table1[[#This Row],[Size (S, M, L)]]="S",2,IF(Table1[[#This Row],[Size (S, M, L)]]="L",1,4))</f>
        <v>4</v>
      </c>
      <c r="S12" t="s">
        <v>462</v>
      </c>
      <c r="T12">
        <f>IF(Table1[[#This Row],[TZone]]="EST",4,IF(Table1[[#This Row],[TZone]]="CST",3,IF(Table1[[#This Row],[TZone]]="MST",2,1)))</f>
        <v>2</v>
      </c>
      <c r="U12" t="s">
        <v>463</v>
      </c>
      <c r="V12">
        <f>IF(Table1[[#This Row],[Low-cost office?]]="Yes",-4,0)</f>
        <v>0</v>
      </c>
      <c r="X12" t="s">
        <v>479</v>
      </c>
    </row>
    <row r="13" spans="1:24" x14ac:dyDescent="0.55000000000000004">
      <c r="A13" s="104" t="s">
        <v>293</v>
      </c>
      <c r="B13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20.5</v>
      </c>
      <c r="C13" t="s">
        <v>469</v>
      </c>
      <c r="D13" s="95" t="s">
        <v>460</v>
      </c>
      <c r="E13" s="95" t="s">
        <v>460</v>
      </c>
      <c r="F13" s="95" t="s">
        <v>460</v>
      </c>
      <c r="G13" s="95" t="s">
        <v>460</v>
      </c>
      <c r="H13" s="95" t="s">
        <v>460</v>
      </c>
      <c r="I13" s="95" t="s">
        <v>460</v>
      </c>
      <c r="J13" s="95">
        <f>IF(Table1[[#This Row],[CIV]]="⮽",0,1)*1.5</f>
        <v>1.5</v>
      </c>
      <c r="K13" s="95">
        <f>IF(Table1[[#This Row],[ARC]]="⮽",0,1)*3</f>
        <v>3</v>
      </c>
      <c r="L13" s="95">
        <f>IF(Table1[[#This Row],[STR]]="⮽",0,1)*2</f>
        <v>2</v>
      </c>
      <c r="M13" s="95">
        <f>IF(Table1[[#This Row],[MP]]="⮽",0,1)</f>
        <v>1</v>
      </c>
      <c r="N13" s="95">
        <f>IF(Table1[[#This Row],[ELE]]="⮽",0,1)</f>
        <v>1</v>
      </c>
      <c r="O13" s="95">
        <f>IF(Table1[[#This Row],[FP]]="⮽",0,1)</f>
        <v>0</v>
      </c>
      <c r="P13">
        <v>3</v>
      </c>
      <c r="Q13" t="s">
        <v>472</v>
      </c>
      <c r="R13">
        <f>IF(Table1[[#This Row],[Size (S, M, L)]]="S",2,IF(Table1[[#This Row],[Size (S, M, L)]]="L",1,4))</f>
        <v>4</v>
      </c>
      <c r="S13" t="s">
        <v>465</v>
      </c>
      <c r="T13">
        <f>IF(Table1[[#This Row],[TZone]]="EST",4,IF(Table1[[#This Row],[TZone]]="CST",3,IF(Table1[[#This Row],[TZone]]="MST",2,1)))</f>
        <v>4</v>
      </c>
      <c r="U13" t="s">
        <v>463</v>
      </c>
      <c r="V13">
        <f>IF(Table1[[#This Row],[Low-cost office?]]="Yes",-4,0)</f>
        <v>0</v>
      </c>
      <c r="X13" t="s">
        <v>479</v>
      </c>
    </row>
    <row r="14" spans="1:24" x14ac:dyDescent="0.55000000000000004">
      <c r="A14" s="104" t="s">
        <v>614</v>
      </c>
      <c r="B14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20</v>
      </c>
      <c r="C14" t="s">
        <v>469</v>
      </c>
      <c r="D14" s="95" t="s">
        <v>460</v>
      </c>
      <c r="E14" s="95" t="s">
        <v>460</v>
      </c>
      <c r="F14" s="95" t="s">
        <v>460</v>
      </c>
      <c r="G14" s="95" t="s">
        <v>460</v>
      </c>
      <c r="H14" s="95" t="s">
        <v>460</v>
      </c>
      <c r="I14" s="94" t="s">
        <v>470</v>
      </c>
      <c r="J14" s="94">
        <f>IF(Table1[[#This Row],[CIV]]="⮽",0,1)*1.5</f>
        <v>0</v>
      </c>
      <c r="K14" s="94">
        <f>IF(Table1[[#This Row],[ARC]]="⮽",0,1)*3</f>
        <v>3</v>
      </c>
      <c r="L14" s="94">
        <f>IF(Table1[[#This Row],[STR]]="⮽",0,1)*2</f>
        <v>2</v>
      </c>
      <c r="M14" s="94">
        <f>IF(Table1[[#This Row],[MP]]="⮽",0,1)</f>
        <v>1</v>
      </c>
      <c r="N14" s="94">
        <f>IF(Table1[[#This Row],[ELE]]="⮽",0,1)</f>
        <v>1</v>
      </c>
      <c r="O14" s="94">
        <f>IF(Table1[[#This Row],[FP]]="⮽",0,1)</f>
        <v>0</v>
      </c>
      <c r="P14">
        <v>3</v>
      </c>
      <c r="Q14" t="s">
        <v>461</v>
      </c>
      <c r="R14">
        <f>IF(Table1[[#This Row],[Size (S, M, L)]]="S",2,IF(Table1[[#This Row],[Size (S, M, L)]]="L",1,4))</f>
        <v>4</v>
      </c>
      <c r="S14" t="s">
        <v>473</v>
      </c>
      <c r="T14">
        <f>IF(Table1[[#This Row],[TZone]]="EST",4,IF(Table1[[#This Row],[TZone]]="CST",3,IF(Table1[[#This Row],[TZone]]="MST",2,1)))</f>
        <v>3</v>
      </c>
      <c r="U14" t="s">
        <v>463</v>
      </c>
      <c r="V14">
        <f>IF(Table1[[#This Row],[Low-cost office?]]="Yes",-4,0)</f>
        <v>0</v>
      </c>
      <c r="X14" t="s">
        <v>479</v>
      </c>
    </row>
    <row r="15" spans="1:24" x14ac:dyDescent="0.55000000000000004">
      <c r="A15" t="s">
        <v>152</v>
      </c>
      <c r="B15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19.5</v>
      </c>
      <c r="C15" t="s">
        <v>464</v>
      </c>
      <c r="D15" s="94" t="s">
        <v>460</v>
      </c>
      <c r="E15" s="94" t="s">
        <v>460</v>
      </c>
      <c r="F15" s="94" t="s">
        <v>460</v>
      </c>
      <c r="G15" s="94" t="s">
        <v>460</v>
      </c>
      <c r="H15" s="94" t="s">
        <v>460</v>
      </c>
      <c r="I15" s="95" t="s">
        <v>470</v>
      </c>
      <c r="J15" s="95">
        <f>IF(Table1[[#This Row],[CIV]]="⮽",0,1)*1.5</f>
        <v>1.5</v>
      </c>
      <c r="K15" s="95">
        <f>IF(Table1[[#This Row],[ARC]]="⮽",0,1)*3</f>
        <v>3</v>
      </c>
      <c r="L15" s="95">
        <f>IF(Table1[[#This Row],[STR]]="⮽",0,1)*2</f>
        <v>2</v>
      </c>
      <c r="M15" s="95">
        <f>IF(Table1[[#This Row],[MP]]="⮽",0,1)</f>
        <v>1</v>
      </c>
      <c r="N15" s="95">
        <f>IF(Table1[[#This Row],[ELE]]="⮽",0,1)</f>
        <v>1</v>
      </c>
      <c r="O15" s="95">
        <f>IF(Table1[[#This Row],[FP]]="⮽",0,1)</f>
        <v>0</v>
      </c>
      <c r="P15">
        <v>2</v>
      </c>
      <c r="Q15" t="s">
        <v>461</v>
      </c>
      <c r="R15">
        <f>IF(Table1[[#This Row],[Size (S, M, L)]]="S",2,IF(Table1[[#This Row],[Size (S, M, L)]]="L",1,4))</f>
        <v>1</v>
      </c>
      <c r="S15" t="s">
        <v>462</v>
      </c>
      <c r="T15">
        <f>IF(Table1[[#This Row],[TZone]]="EST",4,IF(Table1[[#This Row],[TZone]]="CST",3,IF(Table1[[#This Row],[TZone]]="MST",2,1)))</f>
        <v>4</v>
      </c>
      <c r="U15" t="s">
        <v>463</v>
      </c>
      <c r="V15">
        <f>IF(Table1[[#This Row],[Low-cost office?]]="Yes",-4,0)</f>
        <v>0</v>
      </c>
      <c r="X15" t="s">
        <v>479</v>
      </c>
    </row>
    <row r="16" spans="1:24" x14ac:dyDescent="0.55000000000000004">
      <c r="A16" s="104" t="s">
        <v>35</v>
      </c>
      <c r="B16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19.5</v>
      </c>
      <c r="C16" t="s">
        <v>464</v>
      </c>
      <c r="D16" s="95" t="s">
        <v>470</v>
      </c>
      <c r="E16" s="94" t="s">
        <v>460</v>
      </c>
      <c r="F16" s="94" t="s">
        <v>460</v>
      </c>
      <c r="G16" s="94" t="s">
        <v>460</v>
      </c>
      <c r="H16" s="94" t="s">
        <v>460</v>
      </c>
      <c r="I16" s="95" t="s">
        <v>470</v>
      </c>
      <c r="J16" s="95">
        <f>IF(Table1[[#This Row],[CIV]]="⮽",0,1)*1.5</f>
        <v>1.5</v>
      </c>
      <c r="K16" s="95">
        <f>IF(Table1[[#This Row],[ARC]]="⮽",0,1)*3</f>
        <v>3</v>
      </c>
      <c r="L16" s="95">
        <f>IF(Table1[[#This Row],[STR]]="⮽",0,1)*2</f>
        <v>2</v>
      </c>
      <c r="M16" s="95">
        <f>IF(Table1[[#This Row],[MP]]="⮽",0,1)</f>
        <v>1</v>
      </c>
      <c r="N16" s="95">
        <f>IF(Table1[[#This Row],[ELE]]="⮽",0,1)</f>
        <v>1</v>
      </c>
      <c r="O16" s="95">
        <f>IF(Table1[[#This Row],[FP]]="⮽",0,1)</f>
        <v>1</v>
      </c>
      <c r="P16">
        <v>3</v>
      </c>
      <c r="Q16" t="s">
        <v>461</v>
      </c>
      <c r="R16">
        <f>IF(Table1[[#This Row],[Size (S, M, L)]]="S",2,IF(Table1[[#This Row],[Size (S, M, L)]]="L",1,4))</f>
        <v>4</v>
      </c>
      <c r="S16" t="s">
        <v>465</v>
      </c>
      <c r="T16">
        <f>IF(Table1[[#This Row],[TZone]]="EST",4,IF(Table1[[#This Row],[TZone]]="CST",3,IF(Table1[[#This Row],[TZone]]="MST",2,1)))</f>
        <v>2</v>
      </c>
      <c r="U16" t="s">
        <v>463</v>
      </c>
      <c r="V16">
        <f>IF(Table1[[#This Row],[Low-cost office?]]="Yes",-4,0)</f>
        <v>0</v>
      </c>
      <c r="X16" t="s">
        <v>479</v>
      </c>
    </row>
    <row r="17" spans="1:24" x14ac:dyDescent="0.55000000000000004">
      <c r="A17" s="104" t="s">
        <v>474</v>
      </c>
      <c r="B17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19.5</v>
      </c>
      <c r="C17" t="s">
        <v>467</v>
      </c>
      <c r="D17" s="95" t="s">
        <v>460</v>
      </c>
      <c r="E17" s="95" t="s">
        <v>460</v>
      </c>
      <c r="F17" s="95" t="s">
        <v>460</v>
      </c>
      <c r="G17" s="95" t="s">
        <v>460</v>
      </c>
      <c r="H17" s="95" t="s">
        <v>460</v>
      </c>
      <c r="I17" s="95" t="s">
        <v>470</v>
      </c>
      <c r="J17" s="95">
        <f>IF(Table1[[#This Row],[CIV]]="⮽",0,1)*1.5</f>
        <v>1.5</v>
      </c>
      <c r="K17" s="95">
        <f>IF(Table1[[#This Row],[ARC]]="⮽",0,1)*3</f>
        <v>3</v>
      </c>
      <c r="L17" s="95">
        <f>IF(Table1[[#This Row],[STR]]="⮽",0,1)*2</f>
        <v>2</v>
      </c>
      <c r="M17" s="95">
        <f>IF(Table1[[#This Row],[MP]]="⮽",0,1)</f>
        <v>1</v>
      </c>
      <c r="N17" s="95">
        <f>IF(Table1[[#This Row],[ELE]]="⮽",0,1)</f>
        <v>1</v>
      </c>
      <c r="O17" s="95">
        <f>IF(Table1[[#This Row],[FP]]="⮽",0,1)</f>
        <v>0</v>
      </c>
      <c r="P17">
        <v>3</v>
      </c>
      <c r="Q17" t="s">
        <v>475</v>
      </c>
      <c r="R17">
        <f>IF(Table1[[#This Row],[Size (S, M, L)]]="S",2,IF(Table1[[#This Row],[Size (S, M, L)]]="L",1,4))</f>
        <v>4</v>
      </c>
      <c r="S17" t="s">
        <v>462</v>
      </c>
      <c r="T17">
        <f>IF(Table1[[#This Row],[TZone]]="EST",4,IF(Table1[[#This Row],[TZone]]="CST",3,IF(Table1[[#This Row],[TZone]]="MST",2,1)))</f>
        <v>3</v>
      </c>
      <c r="U17" t="s">
        <v>463</v>
      </c>
      <c r="V17">
        <f>IF(Table1[[#This Row],[Low-cost office?]]="Yes",-4,0)</f>
        <v>0</v>
      </c>
      <c r="X17" t="s">
        <v>479</v>
      </c>
    </row>
    <row r="18" spans="1:24" x14ac:dyDescent="0.55000000000000004">
      <c r="A18" s="104" t="s">
        <v>92</v>
      </c>
      <c r="B18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19.5</v>
      </c>
      <c r="C18" t="s">
        <v>469</v>
      </c>
      <c r="D18" s="95" t="s">
        <v>460</v>
      </c>
      <c r="E18" s="95" t="s">
        <v>460</v>
      </c>
      <c r="F18" s="95" t="s">
        <v>460</v>
      </c>
      <c r="G18" s="95" t="s">
        <v>460</v>
      </c>
      <c r="H18" s="95" t="s">
        <v>460</v>
      </c>
      <c r="I18" s="95" t="s">
        <v>460</v>
      </c>
      <c r="J18" s="95">
        <f>IF(Table1[[#This Row],[CIV]]="⮽",0,1)*1.5</f>
        <v>1.5</v>
      </c>
      <c r="K18" s="95">
        <f>IF(Table1[[#This Row],[ARC]]="⮽",0,1)*3</f>
        <v>0</v>
      </c>
      <c r="L18" s="95">
        <f>IF(Table1[[#This Row],[STR]]="⮽",0,1)*2</f>
        <v>2</v>
      </c>
      <c r="M18" s="95">
        <f>IF(Table1[[#This Row],[MP]]="⮽",0,1)</f>
        <v>1</v>
      </c>
      <c r="N18" s="95">
        <f>IF(Table1[[#This Row],[ELE]]="⮽",0,1)</f>
        <v>1</v>
      </c>
      <c r="O18" s="95">
        <f>IF(Table1[[#This Row],[FP]]="⮽",0,1)</f>
        <v>1</v>
      </c>
      <c r="P18">
        <v>2</v>
      </c>
      <c r="Q18" t="s">
        <v>461</v>
      </c>
      <c r="R18">
        <f>IF(Table1[[#This Row],[Size (S, M, L)]]="S",2,IF(Table1[[#This Row],[Size (S, M, L)]]="L",1,4))</f>
        <v>4</v>
      </c>
      <c r="S18" t="s">
        <v>473</v>
      </c>
      <c r="T18">
        <f>IF(Table1[[#This Row],[TZone]]="EST",4,IF(Table1[[#This Row],[TZone]]="CST",3,IF(Table1[[#This Row],[TZone]]="MST",2,1)))</f>
        <v>3</v>
      </c>
      <c r="U18" t="s">
        <v>463</v>
      </c>
      <c r="V18">
        <f>IF(Table1[[#This Row],[Low-cost office?]]="Yes",-4,0)</f>
        <v>0</v>
      </c>
      <c r="X18" t="s">
        <v>479</v>
      </c>
    </row>
    <row r="19" spans="1:24" x14ac:dyDescent="0.55000000000000004">
      <c r="A19" t="s">
        <v>615</v>
      </c>
      <c r="B19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18.5</v>
      </c>
      <c r="C19" t="s">
        <v>464</v>
      </c>
      <c r="D19" s="95" t="s">
        <v>460</v>
      </c>
      <c r="E19" s="95" t="s">
        <v>460</v>
      </c>
      <c r="F19" s="95" t="s">
        <v>460</v>
      </c>
      <c r="G19" s="95" t="s">
        <v>460</v>
      </c>
      <c r="H19" s="95" t="s">
        <v>460</v>
      </c>
      <c r="I19" s="94" t="s">
        <v>470</v>
      </c>
      <c r="J19" s="94">
        <f>IF(Table1[[#This Row],[CIV]]="⮽",0,1)*1.5</f>
        <v>1.5</v>
      </c>
      <c r="K19" s="94">
        <f>IF(Table1[[#This Row],[ARC]]="⮽",0,1)*3</f>
        <v>3</v>
      </c>
      <c r="L19" s="94">
        <f>IF(Table1[[#This Row],[STR]]="⮽",0,1)*2</f>
        <v>0</v>
      </c>
      <c r="M19" s="94">
        <f>IF(Table1[[#This Row],[MP]]="⮽",0,1)</f>
        <v>0</v>
      </c>
      <c r="N19" s="94">
        <f>IF(Table1[[#This Row],[ELE]]="⮽",0,1)</f>
        <v>0</v>
      </c>
      <c r="O19" s="94">
        <f>IF(Table1[[#This Row],[FP]]="⮽",0,1)</f>
        <v>0</v>
      </c>
      <c r="P19">
        <v>2</v>
      </c>
      <c r="Q19" t="s">
        <v>461</v>
      </c>
      <c r="R19">
        <f>IF(Table1[[#This Row],[Size (S, M, L)]]="S",2,IF(Table1[[#This Row],[Size (S, M, L)]]="L",1,4))</f>
        <v>4</v>
      </c>
      <c r="S19" t="s">
        <v>465</v>
      </c>
      <c r="T19">
        <f>IF(Table1[[#This Row],[TZone]]="EST",4,IF(Table1[[#This Row],[TZone]]="CST",3,IF(Table1[[#This Row],[TZone]]="MST",2,1)))</f>
        <v>4</v>
      </c>
      <c r="U19" t="s">
        <v>463</v>
      </c>
      <c r="V19">
        <f>IF(Table1[[#This Row],[Low-cost office?]]="Yes",-4,0)</f>
        <v>0</v>
      </c>
      <c r="X19" t="s">
        <v>479</v>
      </c>
    </row>
    <row r="20" spans="1:24" x14ac:dyDescent="0.55000000000000004">
      <c r="A20" t="s">
        <v>477</v>
      </c>
      <c r="B20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18.5</v>
      </c>
      <c r="C20" t="s">
        <v>469</v>
      </c>
      <c r="D20" s="94" t="s">
        <v>460</v>
      </c>
      <c r="E20" s="105" t="s">
        <v>470</v>
      </c>
      <c r="F20" s="94" t="s">
        <v>460</v>
      </c>
      <c r="G20" s="94" t="s">
        <v>460</v>
      </c>
      <c r="H20" s="94" t="s">
        <v>460</v>
      </c>
      <c r="I20" s="94" t="s">
        <v>460</v>
      </c>
      <c r="J20" s="94">
        <f>IF(Table1[[#This Row],[CIV]]="⮽",0,1)*1.5</f>
        <v>1.5</v>
      </c>
      <c r="K20" s="94">
        <f>IF(Table1[[#This Row],[ARC]]="⮽",0,1)*3</f>
        <v>3</v>
      </c>
      <c r="L20" s="94">
        <f>IF(Table1[[#This Row],[STR]]="⮽",0,1)*2</f>
        <v>2</v>
      </c>
      <c r="M20" s="94">
        <f>IF(Table1[[#This Row],[MP]]="⮽",0,1)</f>
        <v>1</v>
      </c>
      <c r="N20" s="94">
        <f>IF(Table1[[#This Row],[ELE]]="⮽",0,1)</f>
        <v>1</v>
      </c>
      <c r="O20" s="94">
        <f>IF(Table1[[#This Row],[FP]]="⮽",0,1)</f>
        <v>0</v>
      </c>
      <c r="P20">
        <v>3</v>
      </c>
      <c r="Q20" t="s">
        <v>461</v>
      </c>
      <c r="R20">
        <f>IF(Table1[[#This Row],[Size (S, M, L)]]="S",2,IF(Table1[[#This Row],[Size (S, M, L)]]="L",1,4))</f>
        <v>4</v>
      </c>
      <c r="S20" t="s">
        <v>465</v>
      </c>
      <c r="T20">
        <f>IF(Table1[[#This Row],[TZone]]="EST",4,IF(Table1[[#This Row],[TZone]]="CST",3,IF(Table1[[#This Row],[TZone]]="MST",2,1)))</f>
        <v>4</v>
      </c>
      <c r="U20" t="s">
        <v>463</v>
      </c>
      <c r="V20">
        <f>IF(Table1[[#This Row],[Low-cost office?]]="Yes",-4,0)</f>
        <v>-4</v>
      </c>
      <c r="X20" t="s">
        <v>479</v>
      </c>
    </row>
    <row r="21" spans="1:24" x14ac:dyDescent="0.55000000000000004">
      <c r="A21" t="s">
        <v>351</v>
      </c>
      <c r="B2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18.5</v>
      </c>
      <c r="C21" s="101" t="s">
        <v>469</v>
      </c>
      <c r="D21" s="99" t="s">
        <v>470</v>
      </c>
      <c r="E21" s="98" t="s">
        <v>460</v>
      </c>
      <c r="F21" s="98" t="s">
        <v>460</v>
      </c>
      <c r="G21" s="98" t="s">
        <v>460</v>
      </c>
      <c r="H21" s="98" t="s">
        <v>460</v>
      </c>
      <c r="I21" s="98" t="s">
        <v>460</v>
      </c>
      <c r="J21" s="99">
        <f>IF(Table1[[#This Row],[CIV]]="⮽",0,1)*1.5</f>
        <v>1.5</v>
      </c>
      <c r="K21" s="99">
        <f>IF(Table1[[#This Row],[ARC]]="⮽",0,1)*3</f>
        <v>3</v>
      </c>
      <c r="L21" s="99">
        <f>IF(Table1[[#This Row],[STR]]="⮽",0,1)*2</f>
        <v>2</v>
      </c>
      <c r="M21" s="99">
        <f>IF(Table1[[#This Row],[MP]]="⮽",0,1)</f>
        <v>1</v>
      </c>
      <c r="N21" s="99">
        <f>IF(Table1[[#This Row],[ELE]]="⮽",0,1)</f>
        <v>1</v>
      </c>
      <c r="O21" s="99">
        <f>IF(Table1[[#This Row],[FP]]="⮽",0,1)</f>
        <v>0</v>
      </c>
      <c r="P21" s="101">
        <v>3</v>
      </c>
      <c r="Q21" s="101" t="s">
        <v>475</v>
      </c>
      <c r="R21" s="101">
        <f>IF(Table1[[#This Row],[Size (S, M, L)]]="S",2,IF(Table1[[#This Row],[Size (S, M, L)]]="L",1,4))</f>
        <v>4</v>
      </c>
      <c r="S21" s="101" t="s">
        <v>462</v>
      </c>
      <c r="T21" s="101">
        <f>IF(Table1[[#This Row],[TZone]]="EST",4,IF(Table1[[#This Row],[TZone]]="CST",3,IF(Table1[[#This Row],[TZone]]="MST",2,1)))</f>
        <v>4</v>
      </c>
      <c r="U21" s="101" t="s">
        <v>463</v>
      </c>
      <c r="V21" s="101">
        <f>IF(Table1[[#This Row],[Low-cost office?]]="Yes",-4,0)</f>
        <v>0</v>
      </c>
      <c r="W21" s="106"/>
      <c r="X21" t="s">
        <v>463</v>
      </c>
    </row>
    <row r="22" spans="1:24" x14ac:dyDescent="0.55000000000000004">
      <c r="A22" s="104" t="s">
        <v>478</v>
      </c>
      <c r="B2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18</v>
      </c>
      <c r="C22" s="101" t="s">
        <v>467</v>
      </c>
      <c r="D22" s="99" t="s">
        <v>460</v>
      </c>
      <c r="E22" s="99" t="s">
        <v>460</v>
      </c>
      <c r="F22" s="99" t="s">
        <v>470</v>
      </c>
      <c r="G22" s="99" t="s">
        <v>470</v>
      </c>
      <c r="H22" s="99" t="s">
        <v>470</v>
      </c>
      <c r="I22" s="99" t="s">
        <v>470</v>
      </c>
      <c r="J22" s="99">
        <f>IF(Table1[[#This Row],[CIV]]="⮽",0,1)*1.5</f>
        <v>0</v>
      </c>
      <c r="K22" s="99">
        <f>IF(Table1[[#This Row],[ARC]]="⮽",0,1)*3</f>
        <v>3</v>
      </c>
      <c r="L22" s="99">
        <f>IF(Table1[[#This Row],[STR]]="⮽",0,1)*2</f>
        <v>2</v>
      </c>
      <c r="M22" s="99">
        <f>IF(Table1[[#This Row],[MP]]="⮽",0,1)</f>
        <v>1</v>
      </c>
      <c r="N22" s="99">
        <f>IF(Table1[[#This Row],[ELE]]="⮽",0,1)</f>
        <v>1</v>
      </c>
      <c r="O22" s="99">
        <f>IF(Table1[[#This Row],[FP]]="⮽",0,1)</f>
        <v>0</v>
      </c>
      <c r="P22" s="101">
        <v>3</v>
      </c>
      <c r="Q22" s="101" t="s">
        <v>461</v>
      </c>
      <c r="R22" s="101">
        <f>IF(Table1[[#This Row],[Size (S, M, L)]]="S",2,IF(Table1[[#This Row],[Size (S, M, L)]]="L",1,4))</f>
        <v>2</v>
      </c>
      <c r="S22" s="101" t="s">
        <v>462</v>
      </c>
      <c r="T22" s="101">
        <f>IF(Table1[[#This Row],[TZone]]="EST",4,IF(Table1[[#This Row],[TZone]]="CST",3,IF(Table1[[#This Row],[TZone]]="MST",2,1)))</f>
        <v>3</v>
      </c>
      <c r="U22" s="101" t="s">
        <v>463</v>
      </c>
      <c r="V22" s="101">
        <f>IF(Table1[[#This Row],[Low-cost office?]]="Yes",-4,0)</f>
        <v>0</v>
      </c>
      <c r="W22" s="106"/>
      <c r="X22" t="s">
        <v>479</v>
      </c>
    </row>
    <row r="23" spans="1:24" x14ac:dyDescent="0.55000000000000004">
      <c r="A23" s="97" t="s">
        <v>227</v>
      </c>
      <c r="B2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17.5</v>
      </c>
      <c r="C23" s="101" t="s">
        <v>464</v>
      </c>
      <c r="D23" s="99" t="s">
        <v>460</v>
      </c>
      <c r="E23" s="99" t="s">
        <v>460</v>
      </c>
      <c r="F23" s="99" t="s">
        <v>460</v>
      </c>
      <c r="G23" s="99" t="s">
        <v>460</v>
      </c>
      <c r="H23" s="99" t="s">
        <v>460</v>
      </c>
      <c r="I23" s="99" t="s">
        <v>470</v>
      </c>
      <c r="J23" s="99">
        <f>IF(Table1[[#This Row],[CIV]]="⮽",0,1)*1.5</f>
        <v>1.5</v>
      </c>
      <c r="K23" s="99">
        <f>IF(Table1[[#This Row],[ARC]]="⮽",0,1)*3</f>
        <v>3</v>
      </c>
      <c r="L23" s="99">
        <f>IF(Table1[[#This Row],[STR]]="⮽",0,1)*2</f>
        <v>2</v>
      </c>
      <c r="M23" s="99">
        <f>IF(Table1[[#This Row],[MP]]="⮽",0,1)</f>
        <v>1</v>
      </c>
      <c r="N23" s="99">
        <f>IF(Table1[[#This Row],[ELE]]="⮽",0,1)</f>
        <v>1</v>
      </c>
      <c r="O23" s="99">
        <f>IF(Table1[[#This Row],[FP]]="⮽",0,1)</f>
        <v>0</v>
      </c>
      <c r="P23" s="101">
        <v>3</v>
      </c>
      <c r="Q23" s="101" t="s">
        <v>461</v>
      </c>
      <c r="R23" s="101">
        <f>IF(Table1[[#This Row],[Size (S, M, L)]]="S",2,IF(Table1[[#This Row],[Size (S, M, L)]]="L",1,4))</f>
        <v>4</v>
      </c>
      <c r="S23" s="101" t="s">
        <v>462</v>
      </c>
      <c r="T23" s="101">
        <f>IF(Table1[[#This Row],[TZone]]="EST",4,IF(Table1[[#This Row],[TZone]]="CST",3,IF(Table1[[#This Row],[TZone]]="MST",2,1)))</f>
        <v>3</v>
      </c>
      <c r="U23" s="101" t="s">
        <v>479</v>
      </c>
      <c r="V23" s="101">
        <f>IF(Table1[[#This Row],[Low-cost office?]]="Yes",-4,0)</f>
        <v>0</v>
      </c>
      <c r="W23" s="106"/>
      <c r="X23" t="s">
        <v>479</v>
      </c>
    </row>
    <row r="24" spans="1:24" x14ac:dyDescent="0.55000000000000004">
      <c r="A24" t="s">
        <v>616</v>
      </c>
      <c r="B24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17</v>
      </c>
      <c r="C24" t="s">
        <v>469</v>
      </c>
      <c r="D24" s="94" t="s">
        <v>460</v>
      </c>
      <c r="E24" s="94" t="s">
        <v>460</v>
      </c>
      <c r="F24" s="94" t="s">
        <v>460</v>
      </c>
      <c r="G24" s="95" t="s">
        <v>470</v>
      </c>
      <c r="H24" s="95" t="s">
        <v>470</v>
      </c>
      <c r="I24" s="94" t="s">
        <v>460</v>
      </c>
      <c r="J24" s="95">
        <f>IF(Table1[[#This Row],[CIV]]="⮽",0,1)*1.5</f>
        <v>0</v>
      </c>
      <c r="K24" s="95">
        <f>IF(Table1[[#This Row],[ARC]]="⮽",0,1)*3</f>
        <v>3</v>
      </c>
      <c r="L24" s="95">
        <f>IF(Table1[[#This Row],[STR]]="⮽",0,1)*2</f>
        <v>0</v>
      </c>
      <c r="M24" s="95">
        <f>IF(Table1[[#This Row],[MP]]="⮽",0,1)</f>
        <v>0</v>
      </c>
      <c r="N24" s="95">
        <f>IF(Table1[[#This Row],[ELE]]="⮽",0,1)</f>
        <v>0</v>
      </c>
      <c r="O24" s="95">
        <f>IF(Table1[[#This Row],[FP]]="⮽",0,1)</f>
        <v>0</v>
      </c>
      <c r="P24">
        <v>3</v>
      </c>
      <c r="Q24" t="s">
        <v>461</v>
      </c>
      <c r="R24">
        <f>IF(Table1[[#This Row],[Size (S, M, L)]]="S",2,IF(Table1[[#This Row],[Size (S, M, L)]]="L",1,4))</f>
        <v>4</v>
      </c>
      <c r="S24" t="s">
        <v>485</v>
      </c>
      <c r="T24">
        <f>IF(Table1[[#This Row],[TZone]]="EST",4,IF(Table1[[#This Row],[TZone]]="CST",3,IF(Table1[[#This Row],[TZone]]="MST",2,1)))</f>
        <v>4</v>
      </c>
      <c r="U24" t="s">
        <v>463</v>
      </c>
      <c r="V24">
        <f>IF(Table1[[#This Row],[Low-cost office?]]="Yes",-4,0)</f>
        <v>0</v>
      </c>
      <c r="X24" t="s">
        <v>463</v>
      </c>
    </row>
    <row r="25" spans="1:24" x14ac:dyDescent="0.55000000000000004">
      <c r="A25" s="104" t="s">
        <v>297</v>
      </c>
      <c r="B25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17</v>
      </c>
      <c r="C25" t="s">
        <v>464</v>
      </c>
      <c r="D25" s="95" t="s">
        <v>470</v>
      </c>
      <c r="E25" s="94" t="s">
        <v>460</v>
      </c>
      <c r="F25" s="94" t="s">
        <v>460</v>
      </c>
      <c r="G25" s="94" t="s">
        <v>460</v>
      </c>
      <c r="H25" s="94" t="s">
        <v>460</v>
      </c>
      <c r="I25" s="95" t="s">
        <v>470</v>
      </c>
      <c r="J25" s="95">
        <f>IF(Table1[[#This Row],[CIV]]="⮽",0,1)*1.5</f>
        <v>0</v>
      </c>
      <c r="K25" s="95">
        <f>IF(Table1[[#This Row],[ARC]]="⮽",0,1)*3</f>
        <v>3</v>
      </c>
      <c r="L25" s="95">
        <f>IF(Table1[[#This Row],[STR]]="⮽",0,1)*2</f>
        <v>0</v>
      </c>
      <c r="M25" s="95">
        <f>IF(Table1[[#This Row],[MP]]="⮽",0,1)</f>
        <v>0</v>
      </c>
      <c r="N25" s="95">
        <f>IF(Table1[[#This Row],[ELE]]="⮽",0,1)</f>
        <v>0</v>
      </c>
      <c r="O25" s="95">
        <f>IF(Table1[[#This Row],[FP]]="⮽",0,1)</f>
        <v>0</v>
      </c>
      <c r="P25">
        <v>3</v>
      </c>
      <c r="Q25" t="s">
        <v>472</v>
      </c>
      <c r="R25">
        <f>IF(Table1[[#This Row],[Size (S, M, L)]]="S",2,IF(Table1[[#This Row],[Size (S, M, L)]]="L",1,4))</f>
        <v>4</v>
      </c>
      <c r="S25" t="s">
        <v>465</v>
      </c>
      <c r="T25">
        <f>IF(Table1[[#This Row],[TZone]]="EST",4,IF(Table1[[#This Row],[TZone]]="CST",3,IF(Table1[[#This Row],[TZone]]="MST",2,1)))</f>
        <v>4</v>
      </c>
      <c r="U25" t="s">
        <v>463</v>
      </c>
      <c r="V25">
        <f>IF(Table1[[#This Row],[Low-cost office?]]="Yes",-4,0)</f>
        <v>0</v>
      </c>
      <c r="X25" t="s">
        <v>479</v>
      </c>
    </row>
    <row r="26" spans="1:24" x14ac:dyDescent="0.55000000000000004">
      <c r="A26" t="s">
        <v>617</v>
      </c>
      <c r="B26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16.5</v>
      </c>
      <c r="C26" t="s">
        <v>469</v>
      </c>
      <c r="D26" s="95" t="s">
        <v>470</v>
      </c>
      <c r="E26" s="95" t="s">
        <v>460</v>
      </c>
      <c r="F26" s="95" t="s">
        <v>470</v>
      </c>
      <c r="G26" s="95" t="s">
        <v>470</v>
      </c>
      <c r="H26" s="95" t="s">
        <v>470</v>
      </c>
      <c r="I26" s="94" t="s">
        <v>460</v>
      </c>
      <c r="J26" s="95">
        <f>IF(Table1[[#This Row],[CIV]]="⮽",0,1)*1.5</f>
        <v>1.5</v>
      </c>
      <c r="K26" s="95">
        <f>IF(Table1[[#This Row],[ARC]]="⮽",0,1)*3</f>
        <v>3</v>
      </c>
      <c r="L26" s="95">
        <f>IF(Table1[[#This Row],[STR]]="⮽",0,1)*2</f>
        <v>2</v>
      </c>
      <c r="M26" s="95">
        <f>IF(Table1[[#This Row],[MP]]="⮽",0,1)</f>
        <v>1</v>
      </c>
      <c r="N26" s="95">
        <f>IF(Table1[[#This Row],[ELE]]="⮽",0,1)</f>
        <v>1</v>
      </c>
      <c r="O26" s="95">
        <f>IF(Table1[[#This Row],[FP]]="⮽",0,1)</f>
        <v>1</v>
      </c>
      <c r="P26">
        <v>3</v>
      </c>
      <c r="Q26" t="s">
        <v>461</v>
      </c>
      <c r="R26">
        <f>IF(Table1[[#This Row],[Size (S, M, L)]]="S",2,IF(Table1[[#This Row],[Size (S, M, L)]]="L",1,4))</f>
        <v>1</v>
      </c>
      <c r="S26" t="s">
        <v>462</v>
      </c>
      <c r="T26">
        <f>IF(Table1[[#This Row],[TZone]]="EST",4,IF(Table1[[#This Row],[TZone]]="CST",3,IF(Table1[[#This Row],[TZone]]="MST",2,1)))</f>
        <v>4</v>
      </c>
      <c r="U26" t="s">
        <v>463</v>
      </c>
      <c r="V26">
        <f>IF(Table1[[#This Row],[Low-cost office?]]="Yes",-4,0)</f>
        <v>0</v>
      </c>
      <c r="X26" t="s">
        <v>463</v>
      </c>
    </row>
    <row r="27" spans="1:24" x14ac:dyDescent="0.55000000000000004">
      <c r="A27" t="s">
        <v>618</v>
      </c>
      <c r="B27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16</v>
      </c>
      <c r="C27" t="s">
        <v>469</v>
      </c>
      <c r="D27" s="95" t="s">
        <v>470</v>
      </c>
      <c r="E27" s="94" t="s">
        <v>460</v>
      </c>
      <c r="F27" s="95" t="s">
        <v>470</v>
      </c>
      <c r="G27" s="95" t="s">
        <v>470</v>
      </c>
      <c r="H27" s="95" t="s">
        <v>470</v>
      </c>
      <c r="I27" s="94" t="s">
        <v>460</v>
      </c>
      <c r="J27" s="94">
        <f>IF(Table1[[#This Row],[CIV]]="⮽",0,1)*1.5</f>
        <v>0</v>
      </c>
      <c r="K27" s="94">
        <f>IF(Table1[[#This Row],[ARC]]="⮽",0,1)*3</f>
        <v>3</v>
      </c>
      <c r="L27" s="94">
        <f>IF(Table1[[#This Row],[STR]]="⮽",0,1)*2</f>
        <v>0</v>
      </c>
      <c r="M27" s="94">
        <f>IF(Table1[[#This Row],[MP]]="⮽",0,1)</f>
        <v>1</v>
      </c>
      <c r="N27" s="94">
        <f>IF(Table1[[#This Row],[ELE]]="⮽",0,1)</f>
        <v>1</v>
      </c>
      <c r="O27" s="94">
        <f>IF(Table1[[#This Row],[FP]]="⮽",0,1)</f>
        <v>0</v>
      </c>
      <c r="P27">
        <v>3</v>
      </c>
      <c r="Q27" t="s">
        <v>461</v>
      </c>
      <c r="R27">
        <f>IF(Table1[[#This Row],[Size (S, M, L)]]="S",2,IF(Table1[[#This Row],[Size (S, M, L)]]="L",1,4))</f>
        <v>2</v>
      </c>
      <c r="S27" t="s">
        <v>462</v>
      </c>
      <c r="T27">
        <f>IF(Table1[[#This Row],[TZone]]="EST",4,IF(Table1[[#This Row],[TZone]]="CST",3,IF(Table1[[#This Row],[TZone]]="MST",2,1)))</f>
        <v>3</v>
      </c>
      <c r="U27" t="s">
        <v>463</v>
      </c>
      <c r="V27">
        <f>IF(Table1[[#This Row],[Low-cost office?]]="Yes",-4,0)</f>
        <v>0</v>
      </c>
      <c r="X27" t="s">
        <v>463</v>
      </c>
    </row>
    <row r="28" spans="1:24" x14ac:dyDescent="0.55000000000000004">
      <c r="A28" t="s">
        <v>619</v>
      </c>
      <c r="B28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16</v>
      </c>
      <c r="C28" t="s">
        <v>469</v>
      </c>
      <c r="D28" s="95" t="s">
        <v>470</v>
      </c>
      <c r="E28" s="94" t="s">
        <v>460</v>
      </c>
      <c r="F28" s="95" t="s">
        <v>470</v>
      </c>
      <c r="G28" s="95" t="s">
        <v>470</v>
      </c>
      <c r="H28" s="95" t="s">
        <v>470</v>
      </c>
      <c r="I28" s="94" t="s">
        <v>460</v>
      </c>
      <c r="J28" s="95">
        <f>IF(Table1[[#This Row],[CIV]]="⮽",0,1)*1.5</f>
        <v>0</v>
      </c>
      <c r="K28" s="95">
        <f>IF(Table1[[#This Row],[ARC]]="⮽",0,1)*3</f>
        <v>3</v>
      </c>
      <c r="L28" s="95">
        <f>IF(Table1[[#This Row],[STR]]="⮽",0,1)*2</f>
        <v>0</v>
      </c>
      <c r="M28" s="95">
        <f>IF(Table1[[#This Row],[MP]]="⮽",0,1)</f>
        <v>1</v>
      </c>
      <c r="N28" s="95">
        <f>IF(Table1[[#This Row],[ELE]]="⮽",0,1)</f>
        <v>1</v>
      </c>
      <c r="O28" s="95">
        <f>IF(Table1[[#This Row],[FP]]="⮽",0,1)</f>
        <v>0</v>
      </c>
      <c r="P28">
        <v>3</v>
      </c>
      <c r="Q28" t="s">
        <v>461</v>
      </c>
      <c r="R28">
        <f>IF(Table1[[#This Row],[Size (S, M, L)]]="S",2,IF(Table1[[#This Row],[Size (S, M, L)]]="L",1,4))</f>
        <v>2</v>
      </c>
      <c r="S28" t="s">
        <v>462</v>
      </c>
      <c r="T28">
        <f>IF(Table1[[#This Row],[TZone]]="EST",4,IF(Table1[[#This Row],[TZone]]="CST",3,IF(Table1[[#This Row],[TZone]]="MST",2,1)))</f>
        <v>3</v>
      </c>
      <c r="U28" t="s">
        <v>463</v>
      </c>
      <c r="V28">
        <f>IF(Table1[[#This Row],[Low-cost office?]]="Yes",-4,0)</f>
        <v>0</v>
      </c>
      <c r="X28" t="s">
        <v>463</v>
      </c>
    </row>
    <row r="29" spans="1:24" x14ac:dyDescent="0.55000000000000004">
      <c r="A29" s="104" t="s">
        <v>173</v>
      </c>
      <c r="B29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16</v>
      </c>
      <c r="C29" t="s">
        <v>469</v>
      </c>
      <c r="D29" s="95" t="s">
        <v>470</v>
      </c>
      <c r="E29" s="95" t="s">
        <v>460</v>
      </c>
      <c r="F29" s="95" t="s">
        <v>470</v>
      </c>
      <c r="G29" s="95" t="s">
        <v>470</v>
      </c>
      <c r="H29" s="95" t="s">
        <v>470</v>
      </c>
      <c r="I29" s="95" t="s">
        <v>470</v>
      </c>
      <c r="J29" s="95">
        <f>IF(Table1[[#This Row],[CIV]]="⮽",0,1)*1.5</f>
        <v>0</v>
      </c>
      <c r="K29" s="95">
        <f>IF(Table1[[#This Row],[ARC]]="⮽",0,1)*3</f>
        <v>3</v>
      </c>
      <c r="L29" s="95">
        <f>IF(Table1[[#This Row],[STR]]="⮽",0,1)*2</f>
        <v>0</v>
      </c>
      <c r="M29" s="95">
        <f>IF(Table1[[#This Row],[MP]]="⮽",0,1)</f>
        <v>0</v>
      </c>
      <c r="N29" s="95">
        <f>IF(Table1[[#This Row],[ELE]]="⮽",0,1)</f>
        <v>0</v>
      </c>
      <c r="O29" s="95">
        <f>IF(Table1[[#This Row],[FP]]="⮽",0,1)</f>
        <v>0</v>
      </c>
      <c r="P29">
        <v>3</v>
      </c>
      <c r="Q29" t="s">
        <v>461</v>
      </c>
      <c r="R29">
        <f>IF(Table1[[#This Row],[Size (S, M, L)]]="S",2,IF(Table1[[#This Row],[Size (S, M, L)]]="L",1,4))</f>
        <v>4</v>
      </c>
      <c r="S29" t="s">
        <v>462</v>
      </c>
      <c r="T29">
        <f>IF(Table1[[#This Row],[TZone]]="EST",4,IF(Table1[[#This Row],[TZone]]="CST",3,IF(Table1[[#This Row],[TZone]]="MST",2,1)))</f>
        <v>3</v>
      </c>
      <c r="U29" t="s">
        <v>463</v>
      </c>
      <c r="V29">
        <f>IF(Table1[[#This Row],[Low-cost office?]]="Yes",-4,0)</f>
        <v>0</v>
      </c>
      <c r="X29" t="s">
        <v>479</v>
      </c>
    </row>
    <row r="30" spans="1:24" x14ac:dyDescent="0.55000000000000004">
      <c r="A30" s="104" t="s">
        <v>481</v>
      </c>
      <c r="B30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16</v>
      </c>
      <c r="C30" t="s">
        <v>459</v>
      </c>
      <c r="D30" s="95" t="s">
        <v>470</v>
      </c>
      <c r="E30" s="94" t="s">
        <v>460</v>
      </c>
      <c r="F30" s="95" t="s">
        <v>470</v>
      </c>
      <c r="G30" s="95" t="s">
        <v>470</v>
      </c>
      <c r="H30" s="95" t="s">
        <v>470</v>
      </c>
      <c r="I30" s="95" t="s">
        <v>470</v>
      </c>
      <c r="J30" s="95">
        <f>IF(Table1[[#This Row],[CIV]]="⮽",0,1)*1.5</f>
        <v>0</v>
      </c>
      <c r="K30" s="95">
        <f>IF(Table1[[#This Row],[ARC]]="⮽",0,1)*3</f>
        <v>3</v>
      </c>
      <c r="L30" s="95">
        <f>IF(Table1[[#This Row],[STR]]="⮽",0,1)*2</f>
        <v>2</v>
      </c>
      <c r="M30" s="95">
        <f>IF(Table1[[#This Row],[MP]]="⮽",0,1)</f>
        <v>1</v>
      </c>
      <c r="N30" s="95">
        <f>IF(Table1[[#This Row],[ELE]]="⮽",0,1)</f>
        <v>1</v>
      </c>
      <c r="O30" s="95">
        <f>IF(Table1[[#This Row],[FP]]="⮽",0,1)</f>
        <v>0</v>
      </c>
      <c r="P30">
        <v>3</v>
      </c>
      <c r="Q30" t="s">
        <v>461</v>
      </c>
      <c r="R30">
        <f>IF(Table1[[#This Row],[Size (S, M, L)]]="S",2,IF(Table1[[#This Row],[Size (S, M, L)]]="L",1,4))</f>
        <v>2</v>
      </c>
      <c r="S30" t="s">
        <v>462</v>
      </c>
      <c r="T30">
        <f>IF(Table1[[#This Row],[TZone]]="EST",4,IF(Table1[[#This Row],[TZone]]="CST",3,IF(Table1[[#This Row],[TZone]]="MST",2,1)))</f>
        <v>1</v>
      </c>
      <c r="U30" t="s">
        <v>463</v>
      </c>
      <c r="V30">
        <f>IF(Table1[[#This Row],[Low-cost office?]]="Yes",-4,0)</f>
        <v>0</v>
      </c>
      <c r="X30" t="s">
        <v>479</v>
      </c>
    </row>
    <row r="31" spans="1:24" x14ac:dyDescent="0.55000000000000004">
      <c r="A31" t="s">
        <v>482</v>
      </c>
      <c r="B3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15.5</v>
      </c>
      <c r="C31" t="s">
        <v>469</v>
      </c>
      <c r="D31" s="94" t="s">
        <v>460</v>
      </c>
      <c r="E31" s="94" t="s">
        <v>460</v>
      </c>
      <c r="F31" s="94" t="s">
        <v>460</v>
      </c>
      <c r="G31" s="94" t="s">
        <v>460</v>
      </c>
      <c r="H31" s="94" t="s">
        <v>460</v>
      </c>
      <c r="I31" s="94" t="s">
        <v>460</v>
      </c>
      <c r="J31" s="95">
        <f>IF(Table1[[#This Row],[CIV]]="⮽",0,1)*1.5</f>
        <v>1.5</v>
      </c>
      <c r="K31" s="95">
        <f>IF(Table1[[#This Row],[ARC]]="⮽",0,1)*3</f>
        <v>3</v>
      </c>
      <c r="L31" s="95">
        <f>IF(Table1[[#This Row],[STR]]="⮽",0,1)*2</f>
        <v>0</v>
      </c>
      <c r="M31" s="95">
        <f>IF(Table1[[#This Row],[MP]]="⮽",0,1)</f>
        <v>0</v>
      </c>
      <c r="N31" s="95">
        <f>IF(Table1[[#This Row],[ELE]]="⮽",0,1)</f>
        <v>0</v>
      </c>
      <c r="O31" s="95">
        <f>IF(Table1[[#This Row],[FP]]="⮽",0,1)</f>
        <v>0</v>
      </c>
      <c r="P31">
        <v>1</v>
      </c>
      <c r="Q31" t="s">
        <v>475</v>
      </c>
      <c r="R31">
        <f>IF(Table1[[#This Row],[Size (S, M, L)]]="S",2,IF(Table1[[#This Row],[Size (S, M, L)]]="L",1,4))</f>
        <v>4</v>
      </c>
      <c r="S31" t="s">
        <v>462</v>
      </c>
      <c r="T31">
        <f>IF(Table1[[#This Row],[TZone]]="EST",4,IF(Table1[[#This Row],[TZone]]="CST",3,IF(Table1[[#This Row],[TZone]]="MST",2,1)))</f>
        <v>1</v>
      </c>
      <c r="U31" t="s">
        <v>463</v>
      </c>
      <c r="V31">
        <f>IF(Table1[[#This Row],[Low-cost office?]]="Yes",-4,0)</f>
        <v>0</v>
      </c>
      <c r="X31" t="s">
        <v>479</v>
      </c>
    </row>
    <row r="32" spans="1:24" x14ac:dyDescent="0.55000000000000004">
      <c r="A32" t="s">
        <v>334</v>
      </c>
      <c r="B32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15.5</v>
      </c>
      <c r="C32" t="s">
        <v>469</v>
      </c>
      <c r="D32" s="94" t="s">
        <v>470</v>
      </c>
      <c r="E32" s="94" t="s">
        <v>460</v>
      </c>
      <c r="F32" s="94" t="s">
        <v>470</v>
      </c>
      <c r="G32" s="94" t="s">
        <v>460</v>
      </c>
      <c r="H32" s="94" t="s">
        <v>460</v>
      </c>
      <c r="I32" s="94" t="s">
        <v>470</v>
      </c>
      <c r="J32" s="95">
        <f>IF(Table1[[#This Row],[CIV]]="⮽",0,1)*1.5</f>
        <v>1.5</v>
      </c>
      <c r="K32" s="95">
        <f>IF(Table1[[#This Row],[ARC]]="⮽",0,1)*3</f>
        <v>3</v>
      </c>
      <c r="L32" s="95">
        <f>IF(Table1[[#This Row],[STR]]="⮽",0,1)*2</f>
        <v>2</v>
      </c>
      <c r="M32" s="95">
        <f>IF(Table1[[#This Row],[MP]]="⮽",0,1)</f>
        <v>0</v>
      </c>
      <c r="N32" s="95">
        <f>IF(Table1[[#This Row],[ELE]]="⮽",0,1)</f>
        <v>0</v>
      </c>
      <c r="O32" s="95">
        <f>IF(Table1[[#This Row],[FP]]="⮽",0,1)</f>
        <v>0</v>
      </c>
      <c r="P32">
        <v>3</v>
      </c>
      <c r="Q32" t="s">
        <v>472</v>
      </c>
      <c r="R32">
        <f>IF(Table1[[#This Row],[Size (S, M, L)]]="S",2,IF(Table1[[#This Row],[Size (S, M, L)]]="L",1,4))</f>
        <v>4</v>
      </c>
      <c r="S32" t="s">
        <v>465</v>
      </c>
      <c r="T32">
        <f>IF(Table1[[#This Row],[TZone]]="EST",4,IF(Table1[[#This Row],[TZone]]="CST",3,IF(Table1[[#This Row],[TZone]]="MST",2,1)))</f>
        <v>3</v>
      </c>
      <c r="U32" t="s">
        <v>463</v>
      </c>
      <c r="V32">
        <f>IF(Table1[[#This Row],[Low-cost office?]]="Yes",-4,0)</f>
        <v>-4</v>
      </c>
      <c r="X32" t="s">
        <v>479</v>
      </c>
    </row>
    <row r="33" spans="1:24" x14ac:dyDescent="0.55000000000000004">
      <c r="A33" t="s">
        <v>620</v>
      </c>
      <c r="B33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3" t="s">
        <v>469</v>
      </c>
      <c r="D33" s="94" t="s">
        <v>470</v>
      </c>
      <c r="E33" s="94" t="s">
        <v>460</v>
      </c>
      <c r="F33" s="94" t="s">
        <v>470</v>
      </c>
      <c r="G33" s="94" t="s">
        <v>460</v>
      </c>
      <c r="H33" s="94" t="s">
        <v>460</v>
      </c>
      <c r="I33" s="94" t="s">
        <v>470</v>
      </c>
      <c r="J33" s="95">
        <f>IF(Table1[[#This Row],[CIV]]="⮽",0,1)*1.5</f>
        <v>0</v>
      </c>
      <c r="K33" s="95">
        <f>IF(Table1[[#This Row],[ARC]]="⮽",0,1)*3</f>
        <v>3</v>
      </c>
      <c r="L33" s="95">
        <f>IF(Table1[[#This Row],[STR]]="⮽",0,1)*2</f>
        <v>0</v>
      </c>
      <c r="M33" s="95">
        <f>IF(Table1[[#This Row],[MP]]="⮽",0,1)</f>
        <v>0</v>
      </c>
      <c r="N33" s="95">
        <f>IF(Table1[[#This Row],[ELE]]="⮽",0,1)</f>
        <v>0</v>
      </c>
      <c r="O33" s="95">
        <f>IF(Table1[[#This Row],[FP]]="⮽",0,1)</f>
        <v>0</v>
      </c>
      <c r="P33">
        <v>3</v>
      </c>
      <c r="Q33" t="s">
        <v>472</v>
      </c>
      <c r="R33">
        <f>IF(Table1[[#This Row],[Size (S, M, L)]]="S",2,IF(Table1[[#This Row],[Size (S, M, L)]]="L",1,4))</f>
        <v>2</v>
      </c>
      <c r="S33" t="s">
        <v>465</v>
      </c>
      <c r="T33">
        <f>IF(Table1[[#This Row],[TZone]]="EST",4,IF(Table1[[#This Row],[TZone]]="CST",3,IF(Table1[[#This Row],[TZone]]="MST",2,1)))</f>
        <v>4</v>
      </c>
      <c r="U33" t="s">
        <v>463</v>
      </c>
      <c r="V33">
        <f>IF(Table1[[#This Row],[Low-cost office?]]="Yes",-4,0)</f>
        <v>0</v>
      </c>
      <c r="X33" t="s">
        <v>479</v>
      </c>
    </row>
    <row r="34" spans="1:24" x14ac:dyDescent="0.55000000000000004">
      <c r="A34" t="s">
        <v>621</v>
      </c>
      <c r="B3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4" s="101" t="s">
        <v>464</v>
      </c>
      <c r="D34" s="99" t="s">
        <v>470</v>
      </c>
      <c r="E34" s="98" t="s">
        <v>460</v>
      </c>
      <c r="F34" s="99" t="s">
        <v>470</v>
      </c>
      <c r="G34" s="99" t="s">
        <v>470</v>
      </c>
      <c r="H34" s="99" t="s">
        <v>470</v>
      </c>
      <c r="I34" s="99" t="s">
        <v>470</v>
      </c>
      <c r="J34" s="99">
        <f>IF(Table1[[#This Row],[CIV]]="⮽",0,1)*1.5</f>
        <v>0</v>
      </c>
      <c r="K34" s="99">
        <f>IF(Table1[[#This Row],[ARC]]="⮽",0,1)*3</f>
        <v>3</v>
      </c>
      <c r="L34" s="99">
        <f>IF(Table1[[#This Row],[STR]]="⮽",0,1)*2</f>
        <v>0</v>
      </c>
      <c r="M34" s="99">
        <f>IF(Table1[[#This Row],[MP]]="⮽",0,1)</f>
        <v>0</v>
      </c>
      <c r="N34" s="99">
        <f>IF(Table1[[#This Row],[ELE]]="⮽",0,1)</f>
        <v>0</v>
      </c>
      <c r="O34" s="99">
        <f>IF(Table1[[#This Row],[FP]]="⮽",0,1)</f>
        <v>0</v>
      </c>
      <c r="P34" s="101">
        <v>3</v>
      </c>
      <c r="Q34" s="101" t="s">
        <v>461</v>
      </c>
      <c r="R34" s="101">
        <f>IF(Table1[[#This Row],[Size (S, M, L)]]="S",2,IF(Table1[[#This Row],[Size (S, M, L)]]="L",1,4))</f>
        <v>2</v>
      </c>
      <c r="S34" s="101" t="s">
        <v>465</v>
      </c>
      <c r="T34" s="101">
        <f>IF(Table1[[#This Row],[TZone]]="EST",4,IF(Table1[[#This Row],[TZone]]="CST",3,IF(Table1[[#This Row],[TZone]]="MST",2,1)))</f>
        <v>4</v>
      </c>
      <c r="U34" s="101" t="s">
        <v>463</v>
      </c>
      <c r="V34" s="101">
        <f>IF(Table1[[#This Row],[Low-cost office?]]="Yes",-4,0)</f>
        <v>0</v>
      </c>
      <c r="W34" s="106"/>
      <c r="X34" t="s">
        <v>479</v>
      </c>
    </row>
    <row r="35" spans="1:24" x14ac:dyDescent="0.55000000000000004">
      <c r="A35" t="s">
        <v>336</v>
      </c>
      <c r="B3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5" s="101" t="s">
        <v>469</v>
      </c>
      <c r="D35" s="99" t="s">
        <v>470</v>
      </c>
      <c r="E35" s="99" t="s">
        <v>460</v>
      </c>
      <c r="F35" s="99" t="s">
        <v>460</v>
      </c>
      <c r="G35" s="99" t="s">
        <v>460</v>
      </c>
      <c r="H35" s="99" t="s">
        <v>460</v>
      </c>
      <c r="I35" s="99" t="s">
        <v>470</v>
      </c>
      <c r="J35" s="99">
        <f>IF(Table1[[#This Row],[CIV]]="⮽",0,1)*1.5</f>
        <v>0</v>
      </c>
      <c r="K35" s="99">
        <f>IF(Table1[[#This Row],[ARC]]="⮽",0,1)*3</f>
        <v>3</v>
      </c>
      <c r="L35" s="99">
        <f>IF(Table1[[#This Row],[STR]]="⮽",0,1)*2</f>
        <v>0</v>
      </c>
      <c r="M35" s="99">
        <f>IF(Table1[[#This Row],[MP]]="⮽",0,1)</f>
        <v>1</v>
      </c>
      <c r="N35" s="99">
        <f>IF(Table1[[#This Row],[ELE]]="⮽",0,1)</f>
        <v>1</v>
      </c>
      <c r="O35" s="99">
        <f>IF(Table1[[#This Row],[FP]]="⮽",0,1)</f>
        <v>0</v>
      </c>
      <c r="P35" s="101">
        <v>3</v>
      </c>
      <c r="Q35" s="101" t="s">
        <v>472</v>
      </c>
      <c r="R35" s="101">
        <f>IF(Table1[[#This Row],[Size (S, M, L)]]="S",2,IF(Table1[[#This Row],[Size (S, M, L)]]="L",1,4))</f>
        <v>2</v>
      </c>
      <c r="S35" s="101" t="s">
        <v>485</v>
      </c>
      <c r="T35" s="101">
        <f>IF(Table1[[#This Row],[TZone]]="EST",4,IF(Table1[[#This Row],[TZone]]="CST",3,IF(Table1[[#This Row],[TZone]]="MST",2,1)))</f>
        <v>4</v>
      </c>
      <c r="U35" s="101" t="s">
        <v>463</v>
      </c>
      <c r="V35" s="101">
        <f>IF(Table1[[#This Row],[Low-cost office?]]="Yes",-4,0)</f>
        <v>0</v>
      </c>
      <c r="W35" s="106"/>
      <c r="X35" t="s">
        <v>479</v>
      </c>
    </row>
    <row r="36" spans="1:24" x14ac:dyDescent="0.55000000000000004">
      <c r="A36" t="s">
        <v>486</v>
      </c>
      <c r="B3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6" s="101" t="s">
        <v>464</v>
      </c>
      <c r="D36" s="98" t="s">
        <v>460</v>
      </c>
      <c r="E36" s="98" t="s">
        <v>460</v>
      </c>
      <c r="F36" s="98" t="s">
        <v>460</v>
      </c>
      <c r="G36" s="107" t="s">
        <v>470</v>
      </c>
      <c r="H36" s="107" t="s">
        <v>470</v>
      </c>
      <c r="I36" s="107" t="s">
        <v>470</v>
      </c>
      <c r="J36" s="107">
        <f>IF(Table1[[#This Row],[CIV]]="⮽",0,1)*1.5</f>
        <v>0</v>
      </c>
      <c r="K36" s="107">
        <f>IF(Table1[[#This Row],[ARC]]="⮽",0,1)*3</f>
        <v>3</v>
      </c>
      <c r="L36" s="107">
        <f>IF(Table1[[#This Row],[STR]]="⮽",0,1)*2</f>
        <v>0</v>
      </c>
      <c r="M36" s="107">
        <f>IF(Table1[[#This Row],[MP]]="⮽",0,1)</f>
        <v>0</v>
      </c>
      <c r="N36" s="107">
        <f>IF(Table1[[#This Row],[ELE]]="⮽",0,1)</f>
        <v>0</v>
      </c>
      <c r="O36" s="107">
        <f>IF(Table1[[#This Row],[FP]]="⮽",0,1)</f>
        <v>0</v>
      </c>
      <c r="P36" s="101">
        <v>3</v>
      </c>
      <c r="Q36" s="101" t="s">
        <v>461</v>
      </c>
      <c r="R36" s="101">
        <f>IF(Table1[[#This Row],[Size (S, M, L)]]="S",2,IF(Table1[[#This Row],[Size (S, M, L)]]="L",1,4))</f>
        <v>2</v>
      </c>
      <c r="S36" s="101" t="s">
        <v>465</v>
      </c>
      <c r="T36" s="101">
        <f>IF(Table1[[#This Row],[TZone]]="EST",4,IF(Table1[[#This Row],[TZone]]="CST",3,IF(Table1[[#This Row],[TZone]]="MST",2,1)))</f>
        <v>4</v>
      </c>
      <c r="U36" s="101" t="s">
        <v>479</v>
      </c>
      <c r="V36" s="101">
        <f>IF(Table1[[#This Row],[Low-cost office?]]="Yes",-4,0)</f>
        <v>0</v>
      </c>
      <c r="W36" s="106"/>
      <c r="X36" t="s">
        <v>479</v>
      </c>
    </row>
    <row r="37" spans="1:24" x14ac:dyDescent="0.55000000000000004">
      <c r="A37" t="s">
        <v>300</v>
      </c>
      <c r="B3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7" s="101" t="s">
        <v>469</v>
      </c>
      <c r="D37" s="98" t="s">
        <v>470</v>
      </c>
      <c r="E37" s="98" t="s">
        <v>460</v>
      </c>
      <c r="F37" s="98" t="s">
        <v>470</v>
      </c>
      <c r="G37" s="98" t="s">
        <v>470</v>
      </c>
      <c r="H37" s="98" t="s">
        <v>470</v>
      </c>
      <c r="I37" s="98" t="s">
        <v>470</v>
      </c>
      <c r="J37" s="99">
        <f>IF(Table1[[#This Row],[CIV]]="⮽",0,1)*1.5</f>
        <v>0</v>
      </c>
      <c r="K37" s="99">
        <f>IF(Table1[[#This Row],[ARC]]="⮽",0,1)*3</f>
        <v>3</v>
      </c>
      <c r="L37" s="99">
        <f>IF(Table1[[#This Row],[STR]]="⮽",0,1)*2</f>
        <v>0</v>
      </c>
      <c r="M37" s="99">
        <f>IF(Table1[[#This Row],[MP]]="⮽",0,1)</f>
        <v>0</v>
      </c>
      <c r="N37" s="99">
        <f>IF(Table1[[#This Row],[ELE]]="⮽",0,1)</f>
        <v>0</v>
      </c>
      <c r="O37" s="99">
        <f>IF(Table1[[#This Row],[FP]]="⮽",0,1)</f>
        <v>0</v>
      </c>
      <c r="P37" s="101">
        <v>3</v>
      </c>
      <c r="Q37" s="101" t="s">
        <v>472</v>
      </c>
      <c r="R37" s="101">
        <f>IF(Table1[[#This Row],[Size (S, M, L)]]="S",2,IF(Table1[[#This Row],[Size (S, M, L)]]="L",1,4))</f>
        <v>4</v>
      </c>
      <c r="S37" s="101" t="s">
        <v>462</v>
      </c>
      <c r="T37" s="101">
        <f>IF(Table1[[#This Row],[TZone]]="EST",4,IF(Table1[[#This Row],[TZone]]="CST",3,IF(Table1[[#This Row],[TZone]]="MST",2,1)))</f>
        <v>4</v>
      </c>
      <c r="U37" s="101" t="s">
        <v>463</v>
      </c>
      <c r="V37" s="101">
        <f>IF(Table1[[#This Row],[Low-cost office?]]="Yes",-4,0)</f>
        <v>0</v>
      </c>
      <c r="W37" s="106"/>
      <c r="X37" t="s">
        <v>479</v>
      </c>
    </row>
    <row r="38" spans="1:24" x14ac:dyDescent="0.55000000000000004">
      <c r="A38" t="s">
        <v>333</v>
      </c>
      <c r="B3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8" s="101" t="s">
        <v>469</v>
      </c>
      <c r="D38" s="99" t="s">
        <v>470</v>
      </c>
      <c r="E38" s="98" t="s">
        <v>460</v>
      </c>
      <c r="F38" s="99" t="s">
        <v>470</v>
      </c>
      <c r="G38" s="99" t="s">
        <v>470</v>
      </c>
      <c r="H38" s="99" t="s">
        <v>470</v>
      </c>
      <c r="I38" s="99" t="s">
        <v>470</v>
      </c>
      <c r="J38" s="99">
        <f>IF(Table1[[#This Row],[CIV]]="⮽",0,1)*1.5</f>
        <v>0</v>
      </c>
      <c r="K38" s="99">
        <f>IF(Table1[[#This Row],[ARC]]="⮽",0,1)*3</f>
        <v>0</v>
      </c>
      <c r="L38" s="99">
        <f>IF(Table1[[#This Row],[STR]]="⮽",0,1)*2</f>
        <v>0</v>
      </c>
      <c r="M38" s="99">
        <f>IF(Table1[[#This Row],[MP]]="⮽",0,1)</f>
        <v>1</v>
      </c>
      <c r="N38" s="99">
        <f>IF(Table1[[#This Row],[ELE]]="⮽",0,1)</f>
        <v>1</v>
      </c>
      <c r="O38" s="99">
        <f>IF(Table1[[#This Row],[FP]]="⮽",0,1)</f>
        <v>1</v>
      </c>
      <c r="P38" s="101">
        <v>3</v>
      </c>
      <c r="Q38" s="101" t="s">
        <v>472</v>
      </c>
      <c r="R38" s="101">
        <f>IF(Table1[[#This Row],[Size (S, M, L)]]="S",2,IF(Table1[[#This Row],[Size (S, M, L)]]="L",1,4))</f>
        <v>2</v>
      </c>
      <c r="S38" s="101" t="s">
        <v>462</v>
      </c>
      <c r="T38" s="101">
        <f>IF(Table1[[#This Row],[TZone]]="EST",4,IF(Table1[[#This Row],[TZone]]="CST",3,IF(Table1[[#This Row],[TZone]]="MST",2,1)))</f>
        <v>4</v>
      </c>
      <c r="U38" s="101" t="s">
        <v>463</v>
      </c>
      <c r="V38" s="101">
        <f>IF(Table1[[#This Row],[Low-cost office?]]="Yes",-4,0)</f>
        <v>0</v>
      </c>
      <c r="W38" s="106"/>
      <c r="X38" t="s">
        <v>479</v>
      </c>
    </row>
    <row r="39" spans="1:24" x14ac:dyDescent="0.55000000000000004">
      <c r="A39" t="s">
        <v>339</v>
      </c>
      <c r="B39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39" t="s">
        <v>469</v>
      </c>
      <c r="D39" s="99" t="s">
        <v>470</v>
      </c>
      <c r="E39" s="98" t="s">
        <v>460</v>
      </c>
      <c r="F39" s="99" t="s">
        <v>470</v>
      </c>
      <c r="G39" s="98" t="s">
        <v>460</v>
      </c>
      <c r="H39" s="98" t="s">
        <v>460</v>
      </c>
      <c r="I39" s="99" t="s">
        <v>470</v>
      </c>
      <c r="J39" s="95">
        <f>IF(Table1[[#This Row],[CIV]]="⮽",0,1)*1.5</f>
        <v>0</v>
      </c>
      <c r="K39" s="95">
        <f>IF(Table1[[#This Row],[ARC]]="⮽",0,1)*3</f>
        <v>3</v>
      </c>
      <c r="L39" s="95">
        <f>IF(Table1[[#This Row],[STR]]="⮽",0,1)*2</f>
        <v>2</v>
      </c>
      <c r="M39" s="95">
        <f>IF(Table1[[#This Row],[MP]]="⮽",0,1)</f>
        <v>0</v>
      </c>
      <c r="N39" s="95">
        <f>IF(Table1[[#This Row],[ELE]]="⮽",0,1)</f>
        <v>0</v>
      </c>
      <c r="O39" s="95">
        <f>IF(Table1[[#This Row],[FP]]="⮽",0,1)</f>
        <v>0</v>
      </c>
      <c r="P39">
        <v>2</v>
      </c>
      <c r="Q39" t="s">
        <v>472</v>
      </c>
      <c r="R39">
        <f>IF(Table1[[#This Row],[Size (S, M, L)]]="S",2,IF(Table1[[#This Row],[Size (S, M, L)]]="L",1,4))</f>
        <v>2</v>
      </c>
      <c r="S39" t="s">
        <v>462</v>
      </c>
      <c r="T39">
        <f>IF(Table1[[#This Row],[TZone]]="EST",4,IF(Table1[[#This Row],[TZone]]="CST",3,IF(Table1[[#This Row],[TZone]]="MST",2,1)))</f>
        <v>4</v>
      </c>
      <c r="U39" s="101" t="s">
        <v>463</v>
      </c>
      <c r="V39">
        <f>IF(Table1[[#This Row],[Low-cost office?]]="Yes",-4,0)</f>
        <v>0</v>
      </c>
      <c r="X39" t="s">
        <v>479</v>
      </c>
    </row>
    <row r="40" spans="1:24" x14ac:dyDescent="0.55000000000000004">
      <c r="A40" t="s">
        <v>338</v>
      </c>
      <c r="B4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40" s="101" t="s">
        <v>469</v>
      </c>
      <c r="D40" s="99" t="s">
        <v>470</v>
      </c>
      <c r="E40" s="99" t="s">
        <v>460</v>
      </c>
      <c r="F40" s="99" t="s">
        <v>470</v>
      </c>
      <c r="G40" s="99" t="s">
        <v>470</v>
      </c>
      <c r="H40" s="99" t="s">
        <v>470</v>
      </c>
      <c r="I40" s="99" t="s">
        <v>470</v>
      </c>
      <c r="J40" s="99">
        <f>IF(Table1[[#This Row],[CIV]]="⮽",0,1)*1.5</f>
        <v>0</v>
      </c>
      <c r="K40" s="99">
        <f>IF(Table1[[#This Row],[ARC]]="⮽",0,1)*3</f>
        <v>3</v>
      </c>
      <c r="L40" s="99">
        <f>IF(Table1[[#This Row],[STR]]="⮽",0,1)*2</f>
        <v>0</v>
      </c>
      <c r="M40" s="99">
        <f>IF(Table1[[#This Row],[MP]]="⮽",0,1)</f>
        <v>0</v>
      </c>
      <c r="N40" s="99">
        <f>IF(Table1[[#This Row],[ELE]]="⮽",0,1)</f>
        <v>0</v>
      </c>
      <c r="O40" s="99">
        <f>IF(Table1[[#This Row],[FP]]="⮽",0,1)</f>
        <v>0</v>
      </c>
      <c r="P40" s="101">
        <v>3</v>
      </c>
      <c r="Q40" s="101" t="s">
        <v>472</v>
      </c>
      <c r="R40" s="101">
        <f>IF(Table1[[#This Row],[Size (S, M, L)]]="S",2,IF(Table1[[#This Row],[Size (S, M, L)]]="L",1,4))</f>
        <v>2</v>
      </c>
      <c r="S40" t="s">
        <v>462</v>
      </c>
      <c r="T40" s="101">
        <f>IF(Table1[[#This Row],[TZone]]="EST",4,IF(Table1[[#This Row],[TZone]]="CST",3,IF(Table1[[#This Row],[TZone]]="MST",2,1)))</f>
        <v>4</v>
      </c>
      <c r="U40" s="101" t="s">
        <v>463</v>
      </c>
      <c r="V40" s="101">
        <f>IF(Table1[[#This Row],[Low-cost office?]]="Yes",-4,0)</f>
        <v>0</v>
      </c>
      <c r="W40" s="106"/>
      <c r="X40" t="s">
        <v>479</v>
      </c>
    </row>
    <row r="41" spans="1:24" x14ac:dyDescent="0.55000000000000004">
      <c r="A41" t="s">
        <v>622</v>
      </c>
      <c r="B4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41" t="s">
        <v>459</v>
      </c>
      <c r="D41" s="99" t="s">
        <v>470</v>
      </c>
      <c r="E41" s="98" t="s">
        <v>460</v>
      </c>
      <c r="F41" s="99" t="s">
        <v>470</v>
      </c>
      <c r="G41" s="99" t="s">
        <v>470</v>
      </c>
      <c r="H41" s="99" t="s">
        <v>470</v>
      </c>
      <c r="I41" s="99" t="s">
        <v>470</v>
      </c>
      <c r="J41" s="95">
        <f>IF(Table1[[#This Row],[CIV]]="⮽",0,1)*1.5</f>
        <v>0</v>
      </c>
      <c r="K41" s="95">
        <f>IF(Table1[[#This Row],[ARC]]="⮽",0,1)*3</f>
        <v>3</v>
      </c>
      <c r="L41" s="95">
        <f>IF(Table1[[#This Row],[STR]]="⮽",0,1)*2</f>
        <v>0</v>
      </c>
      <c r="M41" s="95">
        <f>IF(Table1[[#This Row],[MP]]="⮽",0,1)</f>
        <v>1</v>
      </c>
      <c r="N41" s="95">
        <f>IF(Table1[[#This Row],[ELE]]="⮽",0,1)</f>
        <v>1</v>
      </c>
      <c r="O41" s="95">
        <f>IF(Table1[[#This Row],[FP]]="⮽",0,1)</f>
        <v>0</v>
      </c>
      <c r="P41">
        <v>2</v>
      </c>
      <c r="Q41" t="s">
        <v>461</v>
      </c>
      <c r="R41">
        <f>IF(Table1[[#This Row],[Size (S, M, L)]]="S",2,IF(Table1[[#This Row],[Size (S, M, L)]]="L",1,4))</f>
        <v>2</v>
      </c>
      <c r="S41" t="s">
        <v>462</v>
      </c>
      <c r="T41">
        <f>IF(Table1[[#This Row],[TZone]]="EST",4,IF(Table1[[#This Row],[TZone]]="CST",3,IF(Table1[[#This Row],[TZone]]="MST",2,1)))</f>
        <v>4</v>
      </c>
      <c r="U41" s="101" t="s">
        <v>463</v>
      </c>
      <c r="V41">
        <f>IF(Table1[[#This Row],[Low-cost office?]]="Yes",-4,0)</f>
        <v>0</v>
      </c>
      <c r="X41" t="s">
        <v>479</v>
      </c>
    </row>
    <row r="42" spans="1:24" x14ac:dyDescent="0.55000000000000004">
      <c r="A42" t="s">
        <v>487</v>
      </c>
      <c r="B4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15</v>
      </c>
      <c r="C42" s="101" t="s">
        <v>469</v>
      </c>
      <c r="D42" s="99" t="s">
        <v>470</v>
      </c>
      <c r="E42" s="99" t="s">
        <v>470</v>
      </c>
      <c r="F42" s="99" t="s">
        <v>470</v>
      </c>
      <c r="G42" s="98" t="s">
        <v>460</v>
      </c>
      <c r="H42" s="98" t="s">
        <v>460</v>
      </c>
      <c r="I42" s="98" t="s">
        <v>460</v>
      </c>
      <c r="J42" s="98">
        <f>IF(Table1[[#This Row],[CIV]]="⮽",0,1)*1.5</f>
        <v>0</v>
      </c>
      <c r="K42" s="98">
        <f>IF(Table1[[#This Row],[ARC]]="⮽",0,1)*3</f>
        <v>3</v>
      </c>
      <c r="L42" s="98">
        <f>IF(Table1[[#This Row],[STR]]="⮽",0,1)*2</f>
        <v>0</v>
      </c>
      <c r="M42" s="98">
        <f>IF(Table1[[#This Row],[MP]]="⮽",0,1)</f>
        <v>0</v>
      </c>
      <c r="N42" s="98">
        <f>IF(Table1[[#This Row],[ELE]]="⮽",0,1)</f>
        <v>0</v>
      </c>
      <c r="O42" s="98">
        <f>IF(Table1[[#This Row],[FP]]="⮽",0,1)</f>
        <v>0</v>
      </c>
      <c r="P42" s="101">
        <v>3</v>
      </c>
      <c r="Q42" s="101" t="s">
        <v>472</v>
      </c>
      <c r="R42" s="101">
        <f>IF(Table1[[#This Row],[Size (S, M, L)]]="S",2,IF(Table1[[#This Row],[Size (S, M, L)]]="L",1,4))</f>
        <v>2</v>
      </c>
      <c r="S42" s="101" t="s">
        <v>462</v>
      </c>
      <c r="T42" s="101">
        <f>IF(Table1[[#This Row],[TZone]]="EST",4,IF(Table1[[#This Row],[TZone]]="CST",3,IF(Table1[[#This Row],[TZone]]="MST",2,1)))</f>
        <v>4</v>
      </c>
      <c r="U42" s="101" t="s">
        <v>463</v>
      </c>
      <c r="V42" s="101">
        <f>IF(Table1[[#This Row],[Low-cost office?]]="Yes",-4,0)</f>
        <v>0</v>
      </c>
      <c r="W42" s="106"/>
      <c r="X42" t="s">
        <v>479</v>
      </c>
    </row>
    <row r="43" spans="1:24" x14ac:dyDescent="0.55000000000000004">
      <c r="A43" t="s">
        <v>488</v>
      </c>
      <c r="B4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3" s="101" t="s">
        <v>469</v>
      </c>
      <c r="D43" s="99" t="s">
        <v>470</v>
      </c>
      <c r="E43" s="98" t="s">
        <v>460</v>
      </c>
      <c r="F43" s="98" t="s">
        <v>460</v>
      </c>
      <c r="G43" s="99" t="s">
        <v>470</v>
      </c>
      <c r="H43" s="99" t="s">
        <v>470</v>
      </c>
      <c r="I43" s="99" t="s">
        <v>470</v>
      </c>
      <c r="J43" s="99">
        <f>IF(Table1[[#This Row],[CIV]]="⮽",0,1)*1.5</f>
        <v>1.5</v>
      </c>
      <c r="K43" s="99">
        <f>IF(Table1[[#This Row],[ARC]]="⮽",0,1)*3</f>
        <v>0</v>
      </c>
      <c r="L43" s="99">
        <f>IF(Table1[[#This Row],[STR]]="⮽",0,1)*2</f>
        <v>0</v>
      </c>
      <c r="M43" s="99">
        <f>IF(Table1[[#This Row],[MP]]="⮽",0,1)</f>
        <v>0</v>
      </c>
      <c r="N43" s="99">
        <f>IF(Table1[[#This Row],[ELE]]="⮽",0,1)</f>
        <v>0</v>
      </c>
      <c r="O43" s="99">
        <f>IF(Table1[[#This Row],[FP]]="⮽",0,1)</f>
        <v>0</v>
      </c>
      <c r="P43" s="101">
        <v>2</v>
      </c>
      <c r="Q43" s="101" t="s">
        <v>472</v>
      </c>
      <c r="R43" s="101">
        <f>IF(Table1[[#This Row],[Size (S, M, L)]]="S",2,IF(Table1[[#This Row],[Size (S, M, L)]]="L",1,4))</f>
        <v>4</v>
      </c>
      <c r="S43" t="s">
        <v>462</v>
      </c>
      <c r="T43" s="101">
        <f>IF(Table1[[#This Row],[TZone]]="EST",4,IF(Table1[[#This Row],[TZone]]="CST",3,IF(Table1[[#This Row],[TZone]]="MST",2,1)))</f>
        <v>3</v>
      </c>
      <c r="U43" s="101" t="s">
        <v>463</v>
      </c>
      <c r="V43" s="101">
        <f>IF(Table1[[#This Row],[Low-cost office?]]="Yes",-4,0)</f>
        <v>0</v>
      </c>
      <c r="W43" s="106"/>
      <c r="X43" t="s">
        <v>479</v>
      </c>
    </row>
    <row r="44" spans="1:24" x14ac:dyDescent="0.55000000000000004">
      <c r="A44" s="104" t="s">
        <v>318</v>
      </c>
      <c r="B4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4" s="101" t="s">
        <v>469</v>
      </c>
      <c r="D44" s="99" t="s">
        <v>470</v>
      </c>
      <c r="E44" s="98" t="s">
        <v>460</v>
      </c>
      <c r="F44" s="99" t="s">
        <v>470</v>
      </c>
      <c r="G44" s="99" t="s">
        <v>470</v>
      </c>
      <c r="H44" s="99" t="s">
        <v>470</v>
      </c>
      <c r="I44" s="99" t="s">
        <v>470</v>
      </c>
      <c r="J44" s="99">
        <f>IF(Table1[[#This Row],[CIV]]="⮽",0,1)*1.5</f>
        <v>1.5</v>
      </c>
      <c r="K44" s="99">
        <f>IF(Table1[[#This Row],[ARC]]="⮽",0,1)*3</f>
        <v>3</v>
      </c>
      <c r="L44" s="99">
        <f>IF(Table1[[#This Row],[STR]]="⮽",0,1)*2</f>
        <v>0</v>
      </c>
      <c r="M44" s="99">
        <f>IF(Table1[[#This Row],[MP]]="⮽",0,1)</f>
        <v>1</v>
      </c>
      <c r="N44" s="99">
        <f>IF(Table1[[#This Row],[ELE]]="⮽",0,1)</f>
        <v>1</v>
      </c>
      <c r="O44" s="99">
        <f>IF(Table1[[#This Row],[FP]]="⮽",0,1)</f>
        <v>0</v>
      </c>
      <c r="P44" s="101">
        <v>3</v>
      </c>
      <c r="Q44" s="101" t="s">
        <v>472</v>
      </c>
      <c r="R44" s="101">
        <f>IF(Table1[[#This Row],[Size (S, M, L)]]="S",2,IF(Table1[[#This Row],[Size (S, M, L)]]="L",1,4))</f>
        <v>2</v>
      </c>
      <c r="S44" t="s">
        <v>462</v>
      </c>
      <c r="T44" s="101">
        <f>IF(Table1[[#This Row],[TZone]]="EST",4,IF(Table1[[#This Row],[TZone]]="CST",3,IF(Table1[[#This Row],[TZone]]="MST",2,1)))</f>
        <v>2</v>
      </c>
      <c r="U44" s="101" t="s">
        <v>463</v>
      </c>
      <c r="V44" s="101">
        <f>IF(Table1[[#This Row],[Low-cost office?]]="Yes",-4,0)</f>
        <v>0</v>
      </c>
      <c r="W44" s="106"/>
      <c r="X44" t="s">
        <v>479</v>
      </c>
    </row>
    <row r="45" spans="1:24" x14ac:dyDescent="0.55000000000000004">
      <c r="A45" t="s">
        <v>489</v>
      </c>
      <c r="B4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5" s="101" t="s">
        <v>469</v>
      </c>
      <c r="D45" s="107" t="s">
        <v>470</v>
      </c>
      <c r="E45" s="98" t="s">
        <v>460</v>
      </c>
      <c r="F45" s="107" t="s">
        <v>470</v>
      </c>
      <c r="G45" s="98" t="s">
        <v>460</v>
      </c>
      <c r="H45" s="98" t="s">
        <v>460</v>
      </c>
      <c r="I45" s="107" t="s">
        <v>470</v>
      </c>
      <c r="J45" s="107">
        <f>IF(Table1[[#This Row],[CIV]]="⮽",0,1)*1.5</f>
        <v>1.5</v>
      </c>
      <c r="K45" s="107">
        <f>IF(Table1[[#This Row],[ARC]]="⮽",0,1)*3</f>
        <v>3</v>
      </c>
      <c r="L45" s="107">
        <f>IF(Table1[[#This Row],[STR]]="⮽",0,1)*2</f>
        <v>2</v>
      </c>
      <c r="M45" s="107">
        <f>IF(Table1[[#This Row],[MP]]="⮽",0,1)</f>
        <v>1</v>
      </c>
      <c r="N45" s="107">
        <f>IF(Table1[[#This Row],[ELE]]="⮽",0,1)</f>
        <v>1</v>
      </c>
      <c r="O45" s="107">
        <f>IF(Table1[[#This Row],[FP]]="⮽",0,1)</f>
        <v>0</v>
      </c>
      <c r="P45" s="101">
        <v>2</v>
      </c>
      <c r="Q45" s="101" t="s">
        <v>472</v>
      </c>
      <c r="R45" s="101">
        <f>IF(Table1[[#This Row],[Size (S, M, L)]]="S",2,IF(Table1[[#This Row],[Size (S, M, L)]]="L",1,4))</f>
        <v>1</v>
      </c>
      <c r="S45" t="s">
        <v>462</v>
      </c>
      <c r="T45" s="101">
        <f>IF(Table1[[#This Row],[TZone]]="EST",4,IF(Table1[[#This Row],[TZone]]="CST",3,IF(Table1[[#This Row],[TZone]]="MST",2,1)))</f>
        <v>3</v>
      </c>
      <c r="U45" s="101" t="s">
        <v>463</v>
      </c>
      <c r="V45" s="101">
        <f>IF(Table1[[#This Row],[Low-cost office?]]="Yes",-4,0)</f>
        <v>0</v>
      </c>
      <c r="W45" s="106"/>
      <c r="X45" t="s">
        <v>479</v>
      </c>
    </row>
    <row r="46" spans="1:24" x14ac:dyDescent="0.55000000000000004">
      <c r="A46" t="s">
        <v>490</v>
      </c>
      <c r="B4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6" s="101" t="s">
        <v>464</v>
      </c>
      <c r="D46" s="107" t="s">
        <v>470</v>
      </c>
      <c r="E46" s="98" t="s">
        <v>460</v>
      </c>
      <c r="F46" s="107" t="s">
        <v>470</v>
      </c>
      <c r="G46" s="107" t="s">
        <v>470</v>
      </c>
      <c r="H46" s="107" t="s">
        <v>470</v>
      </c>
      <c r="I46" s="107" t="s">
        <v>470</v>
      </c>
      <c r="J46" s="107">
        <f>IF(Table1[[#This Row],[CIV]]="⮽",0,1)*1.5</f>
        <v>1.5</v>
      </c>
      <c r="K46" s="107">
        <f>IF(Table1[[#This Row],[ARC]]="⮽",0,1)*3</f>
        <v>3</v>
      </c>
      <c r="L46" s="107">
        <f>IF(Table1[[#This Row],[STR]]="⮽",0,1)*2</f>
        <v>2</v>
      </c>
      <c r="M46" s="107">
        <f>IF(Table1[[#This Row],[MP]]="⮽",0,1)</f>
        <v>1</v>
      </c>
      <c r="N46" s="107">
        <f>IF(Table1[[#This Row],[ELE]]="⮽",0,1)</f>
        <v>1</v>
      </c>
      <c r="O46" s="107">
        <f>IF(Table1[[#This Row],[FP]]="⮽",0,1)</f>
        <v>1</v>
      </c>
      <c r="P46">
        <v>3</v>
      </c>
      <c r="Q46" s="101" t="s">
        <v>472</v>
      </c>
      <c r="R46" s="101">
        <f>IF(Table1[[#This Row],[Size (S, M, L)]]="S",2,IF(Table1[[#This Row],[Size (S, M, L)]]="L",1,4))</f>
        <v>4</v>
      </c>
      <c r="S46" t="s">
        <v>462</v>
      </c>
      <c r="T46" s="101">
        <f>IF(Table1[[#This Row],[TZone]]="EST",4,IF(Table1[[#This Row],[TZone]]="CST",3,IF(Table1[[#This Row],[TZone]]="MST",2,1)))</f>
        <v>1</v>
      </c>
      <c r="U46" s="101" t="s">
        <v>463</v>
      </c>
      <c r="V46" s="101">
        <f>IF(Table1[[#This Row],[Low-cost office?]]="Yes",-4,0)</f>
        <v>0</v>
      </c>
      <c r="W46" s="106"/>
      <c r="X46" t="s">
        <v>479</v>
      </c>
    </row>
    <row r="47" spans="1:24" x14ac:dyDescent="0.55000000000000004">
      <c r="A47" t="s">
        <v>623</v>
      </c>
      <c r="B4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7" s="101" t="s">
        <v>469</v>
      </c>
      <c r="D47" s="107" t="s">
        <v>470</v>
      </c>
      <c r="E47" s="98" t="s">
        <v>460</v>
      </c>
      <c r="F47" s="107" t="s">
        <v>470</v>
      </c>
      <c r="G47" s="107" t="s">
        <v>470</v>
      </c>
      <c r="H47" s="107" t="s">
        <v>470</v>
      </c>
      <c r="I47" s="107" t="s">
        <v>470</v>
      </c>
      <c r="J47" s="99">
        <f>IF(Table1[[#This Row],[CIV]]="⮽",0,1)*1.5</f>
        <v>1.5</v>
      </c>
      <c r="K47" s="99">
        <f>IF(Table1[[#This Row],[ARC]]="⮽",0,1)*3</f>
        <v>0</v>
      </c>
      <c r="L47" s="99">
        <f>IF(Table1[[#This Row],[STR]]="⮽",0,1)*2</f>
        <v>2</v>
      </c>
      <c r="M47" s="99">
        <f>IF(Table1[[#This Row],[MP]]="⮽",0,1)</f>
        <v>1</v>
      </c>
      <c r="N47" s="99">
        <f>IF(Table1[[#This Row],[ELE]]="⮽",0,1)</f>
        <v>1</v>
      </c>
      <c r="O47" s="99">
        <f>IF(Table1[[#This Row],[FP]]="⮽",0,1)</f>
        <v>0</v>
      </c>
      <c r="P47" s="101">
        <v>3</v>
      </c>
      <c r="Q47" s="101" t="s">
        <v>472</v>
      </c>
      <c r="R47" s="101">
        <f>IF(Table1[[#This Row],[Size (S, M, L)]]="S",2,IF(Table1[[#This Row],[Size (S, M, L)]]="L",1,4))</f>
        <v>1</v>
      </c>
      <c r="S47" t="s">
        <v>462</v>
      </c>
      <c r="T47" s="101">
        <f>IF(Table1[[#This Row],[TZone]]="EST",4,IF(Table1[[#This Row],[TZone]]="CST",3,IF(Table1[[#This Row],[TZone]]="MST",2,1)))</f>
        <v>4</v>
      </c>
      <c r="U47" s="101" t="s">
        <v>463</v>
      </c>
      <c r="V47" s="101">
        <f>IF(Table1[[#This Row],[Low-cost office?]]="Yes",-4,0)</f>
        <v>0</v>
      </c>
      <c r="W47" s="106"/>
      <c r="X47" t="s">
        <v>463</v>
      </c>
    </row>
    <row r="48" spans="1:24" x14ac:dyDescent="0.55000000000000004">
      <c r="A48" t="s">
        <v>624</v>
      </c>
      <c r="B4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8" s="101" t="s">
        <v>469</v>
      </c>
      <c r="D48" s="99" t="s">
        <v>470</v>
      </c>
      <c r="E48" s="99" t="s">
        <v>470</v>
      </c>
      <c r="F48" s="98" t="s">
        <v>460</v>
      </c>
      <c r="G48" s="98" t="s">
        <v>460</v>
      </c>
      <c r="H48" s="98" t="s">
        <v>460</v>
      </c>
      <c r="I48" s="99" t="s">
        <v>470</v>
      </c>
      <c r="J48" s="99">
        <f>IF(Table1[[#This Row],[CIV]]="⮽",0,1)*1.5</f>
        <v>1.5</v>
      </c>
      <c r="K48" s="99">
        <f>IF(Table1[[#This Row],[ARC]]="⮽",0,1)*3</f>
        <v>0</v>
      </c>
      <c r="L48" s="99">
        <f>IF(Table1[[#This Row],[STR]]="⮽",0,1)*2</f>
        <v>2</v>
      </c>
      <c r="M48" s="99">
        <f>IF(Table1[[#This Row],[MP]]="⮽",0,1)</f>
        <v>0</v>
      </c>
      <c r="N48" s="99">
        <f>IF(Table1[[#This Row],[ELE]]="⮽",0,1)</f>
        <v>0</v>
      </c>
      <c r="O48" s="99">
        <f>IF(Table1[[#This Row],[FP]]="⮽",0,1)</f>
        <v>0</v>
      </c>
      <c r="P48" s="101">
        <v>2</v>
      </c>
      <c r="Q48" s="101" t="s">
        <v>461</v>
      </c>
      <c r="R48" s="101">
        <f>IF(Table1[[#This Row],[Size (S, M, L)]]="S",2,IF(Table1[[#This Row],[Size (S, M, L)]]="L",1,4))</f>
        <v>4</v>
      </c>
      <c r="S48" s="101" t="s">
        <v>465</v>
      </c>
      <c r="T48" s="101">
        <f>IF(Table1[[#This Row],[TZone]]="EST",4,IF(Table1[[#This Row],[TZone]]="CST",3,IF(Table1[[#This Row],[TZone]]="MST",2,1)))</f>
        <v>3</v>
      </c>
      <c r="U48" s="101" t="s">
        <v>463</v>
      </c>
      <c r="V48" s="101">
        <f>IF(Table1[[#This Row],[Low-cost office?]]="Yes",-4,0)</f>
        <v>0</v>
      </c>
      <c r="W48" s="106"/>
      <c r="X48" t="s">
        <v>463</v>
      </c>
    </row>
    <row r="49" spans="1:24" x14ac:dyDescent="0.55000000000000004">
      <c r="A49" t="s">
        <v>625</v>
      </c>
      <c r="B49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49" t="s">
        <v>469</v>
      </c>
      <c r="D49" s="99" t="s">
        <v>460</v>
      </c>
      <c r="E49" s="99" t="s">
        <v>470</v>
      </c>
      <c r="F49" s="99" t="s">
        <v>470</v>
      </c>
      <c r="G49" s="99" t="s">
        <v>470</v>
      </c>
      <c r="H49" s="99" t="s">
        <v>470</v>
      </c>
      <c r="I49" s="99" t="s">
        <v>470</v>
      </c>
      <c r="J49" s="95">
        <f>IF(Table1[[#This Row],[CIV]]="⮽",0,1)*1.5</f>
        <v>1.5</v>
      </c>
      <c r="K49" s="95">
        <f>IF(Table1[[#This Row],[ARC]]="⮽",0,1)*3</f>
        <v>0</v>
      </c>
      <c r="L49" s="95">
        <f>IF(Table1[[#This Row],[STR]]="⮽",0,1)*2</f>
        <v>2</v>
      </c>
      <c r="M49" s="95">
        <f>IF(Table1[[#This Row],[MP]]="⮽",0,1)</f>
        <v>1</v>
      </c>
      <c r="N49" s="95">
        <f>IF(Table1[[#This Row],[ELE]]="⮽",0,1)</f>
        <v>1</v>
      </c>
      <c r="O49" s="95">
        <f>IF(Table1[[#This Row],[FP]]="⮽",0,1)</f>
        <v>0</v>
      </c>
      <c r="P49">
        <v>3</v>
      </c>
      <c r="Q49" t="s">
        <v>461</v>
      </c>
      <c r="R49">
        <f>IF(Table1[[#This Row],[Size (S, M, L)]]="S",2,IF(Table1[[#This Row],[Size (S, M, L)]]="L",1,4))</f>
        <v>4</v>
      </c>
      <c r="S49" t="s">
        <v>465</v>
      </c>
      <c r="T49">
        <f>IF(Table1[[#This Row],[TZone]]="EST",4,IF(Table1[[#This Row],[TZone]]="CST",3,IF(Table1[[#This Row],[TZone]]="MST",2,1)))</f>
        <v>3</v>
      </c>
      <c r="U49" s="101" t="s">
        <v>463</v>
      </c>
      <c r="V49">
        <f>IF(Table1[[#This Row],[Low-cost office?]]="Yes",-4,0)</f>
        <v>0</v>
      </c>
      <c r="X49" t="s">
        <v>479</v>
      </c>
    </row>
    <row r="50" spans="1:24" x14ac:dyDescent="0.55000000000000004">
      <c r="A50" t="s">
        <v>626</v>
      </c>
      <c r="B5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14.5</v>
      </c>
      <c r="C50" s="101" t="s">
        <v>469</v>
      </c>
      <c r="D50" s="99" t="s">
        <v>460</v>
      </c>
      <c r="E50" s="99" t="s">
        <v>460</v>
      </c>
      <c r="F50" s="99" t="s">
        <v>460</v>
      </c>
      <c r="G50" s="99" t="s">
        <v>460</v>
      </c>
      <c r="H50" s="99" t="s">
        <v>460</v>
      </c>
      <c r="I50" s="99" t="s">
        <v>470</v>
      </c>
      <c r="J50" s="99">
        <f>IF(Table1[[#This Row],[CIV]]="⮽",0,1)*1.5</f>
        <v>1.5</v>
      </c>
      <c r="K50" s="99">
        <f>IF(Table1[[#This Row],[ARC]]="⮽",0,1)*3</f>
        <v>3</v>
      </c>
      <c r="L50" s="99">
        <f>IF(Table1[[#This Row],[STR]]="⮽",0,1)*2</f>
        <v>2</v>
      </c>
      <c r="M50" s="99">
        <f>IF(Table1[[#This Row],[MP]]="⮽",0,1)</f>
        <v>1</v>
      </c>
      <c r="N50" s="99">
        <f>IF(Table1[[#This Row],[ELE]]="⮽",0,1)</f>
        <v>1</v>
      </c>
      <c r="O50" s="99">
        <f>IF(Table1[[#This Row],[FP]]="⮽",0,1)</f>
        <v>0</v>
      </c>
      <c r="P50" s="101">
        <v>1</v>
      </c>
      <c r="Q50" s="101" t="s">
        <v>475</v>
      </c>
      <c r="R50" s="101">
        <f>IF(Table1[[#This Row],[Size (S, M, L)]]="S",2,IF(Table1[[#This Row],[Size (S, M, L)]]="L",1,4))</f>
        <v>1</v>
      </c>
      <c r="S50" t="s">
        <v>465</v>
      </c>
      <c r="T50" s="101">
        <f>IF(Table1[[#This Row],[TZone]]="EST",4,IF(Table1[[#This Row],[TZone]]="CST",3,IF(Table1[[#This Row],[TZone]]="MST",2,1)))</f>
        <v>3</v>
      </c>
      <c r="U50" s="101" t="s">
        <v>463</v>
      </c>
      <c r="V50" s="101">
        <f>IF(Table1[[#This Row],[Low-cost office?]]="Yes",-4,0)</f>
        <v>0</v>
      </c>
      <c r="W50" s="106"/>
      <c r="X50" t="s">
        <v>479</v>
      </c>
    </row>
    <row r="51" spans="1:24" x14ac:dyDescent="0.55000000000000004">
      <c r="A51" s="104" t="s">
        <v>495</v>
      </c>
      <c r="B5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1" s="101" t="s">
        <v>459</v>
      </c>
      <c r="D51" s="98" t="s">
        <v>460</v>
      </c>
      <c r="E51" s="99" t="s">
        <v>470</v>
      </c>
      <c r="F51" s="98" t="s">
        <v>460</v>
      </c>
      <c r="G51" s="98" t="s">
        <v>460</v>
      </c>
      <c r="H51" s="98" t="s">
        <v>460</v>
      </c>
      <c r="I51" s="99" t="s">
        <v>470</v>
      </c>
      <c r="J51" s="99">
        <f>IF(Table1[[#This Row],[CIV]]="⮽",0,1)*1.5</f>
        <v>0</v>
      </c>
      <c r="K51" s="99">
        <f>IF(Table1[[#This Row],[ARC]]="⮽",0,1)*3</f>
        <v>3</v>
      </c>
      <c r="L51" s="99">
        <f>IF(Table1[[#This Row],[STR]]="⮽",0,1)*2</f>
        <v>0</v>
      </c>
      <c r="M51" s="99">
        <f>IF(Table1[[#This Row],[MP]]="⮽",0,1)</f>
        <v>0</v>
      </c>
      <c r="N51" s="99">
        <f>IF(Table1[[#This Row],[ELE]]="⮽",0,1)</f>
        <v>0</v>
      </c>
      <c r="O51" s="99">
        <f>IF(Table1[[#This Row],[FP]]="⮽",0,1)</f>
        <v>0</v>
      </c>
      <c r="P51" s="101">
        <v>2</v>
      </c>
      <c r="Q51" s="101" t="s">
        <v>475</v>
      </c>
      <c r="R51" s="101">
        <f>IF(Table1[[#This Row],[Size (S, M, L)]]="S",2,IF(Table1[[#This Row],[Size (S, M, L)]]="L",1,4))</f>
        <v>2</v>
      </c>
      <c r="S51" s="101" t="s">
        <v>462</v>
      </c>
      <c r="T51" s="101">
        <f>IF(Table1[[#This Row],[TZone]]="EST",4,IF(Table1[[#This Row],[TZone]]="CST",3,IF(Table1[[#This Row],[TZone]]="MST",2,1)))</f>
        <v>3</v>
      </c>
      <c r="U51" s="101" t="s">
        <v>463</v>
      </c>
      <c r="V51" s="101">
        <f>IF(Table1[[#This Row],[Low-cost office?]]="Yes",-4,0)</f>
        <v>0</v>
      </c>
      <c r="W51" s="106"/>
      <c r="X51" t="s">
        <v>479</v>
      </c>
    </row>
    <row r="52" spans="1:24" x14ac:dyDescent="0.55000000000000004">
      <c r="A52" t="s">
        <v>496</v>
      </c>
      <c r="B52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2" t="s">
        <v>464</v>
      </c>
      <c r="D52" s="98" t="s">
        <v>460</v>
      </c>
      <c r="E52" s="99" t="s">
        <v>470</v>
      </c>
      <c r="F52" s="98" t="s">
        <v>460</v>
      </c>
      <c r="G52" s="98" t="s">
        <v>470</v>
      </c>
      <c r="H52" s="99" t="s">
        <v>470</v>
      </c>
      <c r="I52" s="99" t="s">
        <v>470</v>
      </c>
      <c r="J52" s="95">
        <f>IF(Table1[[#This Row],[CIV]]="⮽",0,1)*1.5</f>
        <v>0</v>
      </c>
      <c r="K52" s="95">
        <f>IF(Table1[[#This Row],[ARC]]="⮽",0,1)*3</f>
        <v>0</v>
      </c>
      <c r="L52" s="95">
        <f>IF(Table1[[#This Row],[STR]]="⮽",0,1)*2</f>
        <v>0</v>
      </c>
      <c r="M52" s="95">
        <f>IF(Table1[[#This Row],[MP]]="⮽",0,1)</f>
        <v>1</v>
      </c>
      <c r="N52" s="95">
        <f>IF(Table1[[#This Row],[ELE]]="⮽",0,1)</f>
        <v>1</v>
      </c>
      <c r="O52" s="95">
        <f>IF(Table1[[#This Row],[FP]]="⮽",0,1)</f>
        <v>1</v>
      </c>
      <c r="P52">
        <v>2</v>
      </c>
      <c r="Q52" t="s">
        <v>461</v>
      </c>
      <c r="R52">
        <f>IF(Table1[[#This Row],[Size (S, M, L)]]="S",2,IF(Table1[[#This Row],[Size (S, M, L)]]="L",1,4))</f>
        <v>4</v>
      </c>
      <c r="S52" t="s">
        <v>465</v>
      </c>
      <c r="T52">
        <f>IF(Table1[[#This Row],[TZone]]="EST",4,IF(Table1[[#This Row],[TZone]]="CST",3,IF(Table1[[#This Row],[TZone]]="MST",2,1)))</f>
        <v>3</v>
      </c>
      <c r="U52" s="101" t="s">
        <v>463</v>
      </c>
      <c r="V52">
        <f>IF(Table1[[#This Row],[Low-cost office?]]="Yes",-4,0)</f>
        <v>0</v>
      </c>
      <c r="X52" t="s">
        <v>479</v>
      </c>
    </row>
    <row r="53" spans="1:24" x14ac:dyDescent="0.55000000000000004">
      <c r="A53" t="s">
        <v>497</v>
      </c>
      <c r="B5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3" s="101" t="s">
        <v>469</v>
      </c>
      <c r="D53" s="98" t="s">
        <v>460</v>
      </c>
      <c r="E53" s="107" t="s">
        <v>470</v>
      </c>
      <c r="F53" s="98" t="s">
        <v>460</v>
      </c>
      <c r="G53" s="98" t="s">
        <v>460</v>
      </c>
      <c r="H53" s="98" t="s">
        <v>460</v>
      </c>
      <c r="I53" s="107" t="s">
        <v>470</v>
      </c>
      <c r="J53" s="107">
        <f>IF(Table1[[#This Row],[CIV]]="⮽",0,1)*1.5</f>
        <v>0</v>
      </c>
      <c r="K53" s="107">
        <f>IF(Table1[[#This Row],[ARC]]="⮽",0,1)*3</f>
        <v>3</v>
      </c>
      <c r="L53" s="107">
        <f>IF(Table1[[#This Row],[STR]]="⮽",0,1)*2</f>
        <v>0</v>
      </c>
      <c r="M53" s="107">
        <f>IF(Table1[[#This Row],[MP]]="⮽",0,1)</f>
        <v>0</v>
      </c>
      <c r="N53" s="107">
        <f>IF(Table1[[#This Row],[ELE]]="⮽",0,1)</f>
        <v>0</v>
      </c>
      <c r="O53" s="107">
        <f>IF(Table1[[#This Row],[FP]]="⮽",0,1)</f>
        <v>0</v>
      </c>
      <c r="P53" s="101">
        <v>1</v>
      </c>
      <c r="Q53" s="101" t="s">
        <v>461</v>
      </c>
      <c r="R53" s="101">
        <f>IF(Table1[[#This Row],[Size (S, M, L)]]="S",2,IF(Table1[[#This Row],[Size (S, M, L)]]="L",1,4))</f>
        <v>2</v>
      </c>
      <c r="S53" t="s">
        <v>465</v>
      </c>
      <c r="T53" s="101">
        <f>IF(Table1[[#This Row],[TZone]]="EST",4,IF(Table1[[#This Row],[TZone]]="CST",3,IF(Table1[[#This Row],[TZone]]="MST",2,1)))</f>
        <v>3</v>
      </c>
      <c r="U53" s="101" t="s">
        <v>463</v>
      </c>
      <c r="V53" s="101">
        <f>IF(Table1[[#This Row],[Low-cost office?]]="Yes",-4,0)</f>
        <v>0</v>
      </c>
      <c r="W53" s="106"/>
      <c r="X53" t="s">
        <v>479</v>
      </c>
    </row>
    <row r="54" spans="1:24" x14ac:dyDescent="0.55000000000000004">
      <c r="A54" t="s">
        <v>498</v>
      </c>
      <c r="B5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4" s="101" t="s">
        <v>469</v>
      </c>
      <c r="D54" s="98" t="s">
        <v>460</v>
      </c>
      <c r="E54" s="98" t="s">
        <v>460</v>
      </c>
      <c r="F54" s="98" t="s">
        <v>460</v>
      </c>
      <c r="G54" s="98" t="s">
        <v>460</v>
      </c>
      <c r="H54" s="98" t="s">
        <v>460</v>
      </c>
      <c r="I54" s="107" t="s">
        <v>470</v>
      </c>
      <c r="J54" s="107">
        <f>IF(Table1[[#This Row],[CIV]]="⮽",0,1)*1.5</f>
        <v>0</v>
      </c>
      <c r="K54" s="107">
        <f>IF(Table1[[#This Row],[ARC]]="⮽",0,1)*3</f>
        <v>3</v>
      </c>
      <c r="L54" s="107">
        <f>IF(Table1[[#This Row],[STR]]="⮽",0,1)*2</f>
        <v>0</v>
      </c>
      <c r="M54" s="107">
        <f>IF(Table1[[#This Row],[MP]]="⮽",0,1)</f>
        <v>0</v>
      </c>
      <c r="N54" s="107">
        <f>IF(Table1[[#This Row],[ELE]]="⮽",0,1)</f>
        <v>0</v>
      </c>
      <c r="O54" s="107">
        <f>IF(Table1[[#This Row],[FP]]="⮽",0,1)</f>
        <v>0</v>
      </c>
      <c r="P54" s="101">
        <v>1</v>
      </c>
      <c r="Q54" s="101" t="s">
        <v>475</v>
      </c>
      <c r="R54" s="101">
        <f>IF(Table1[[#This Row],[Size (S, M, L)]]="S",2,IF(Table1[[#This Row],[Size (S, M, L)]]="L",1,4))</f>
        <v>2</v>
      </c>
      <c r="S54" s="101" t="s">
        <v>465</v>
      </c>
      <c r="T54" s="101">
        <f>IF(Table1[[#This Row],[TZone]]="EST",4,IF(Table1[[#This Row],[TZone]]="CST",3,IF(Table1[[#This Row],[TZone]]="MST",2,1)))</f>
        <v>3</v>
      </c>
      <c r="U54" s="101" t="s">
        <v>463</v>
      </c>
      <c r="V54" s="101">
        <f>IF(Table1[[#This Row],[Low-cost office?]]="Yes",-4,0)</f>
        <v>0</v>
      </c>
      <c r="W54" s="106"/>
      <c r="X54" t="s">
        <v>479</v>
      </c>
    </row>
    <row r="55" spans="1:24" x14ac:dyDescent="0.55000000000000004">
      <c r="A55" t="s">
        <v>627</v>
      </c>
      <c r="B5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5" s="101" t="s">
        <v>469</v>
      </c>
      <c r="D55" s="99" t="s">
        <v>470</v>
      </c>
      <c r="E55" s="99" t="s">
        <v>460</v>
      </c>
      <c r="F55" s="99" t="s">
        <v>470</v>
      </c>
      <c r="G55" s="99" t="s">
        <v>470</v>
      </c>
      <c r="H55" s="99" t="s">
        <v>470</v>
      </c>
      <c r="I55" s="98" t="s">
        <v>460</v>
      </c>
      <c r="J55" s="99">
        <f>IF(Table1[[#This Row],[CIV]]="⮽",0,1)*1.5</f>
        <v>0</v>
      </c>
      <c r="K55" s="99">
        <f>IF(Table1[[#This Row],[ARC]]="⮽",0,1)*3</f>
        <v>3</v>
      </c>
      <c r="L55" s="99">
        <f>IF(Table1[[#This Row],[STR]]="⮽",0,1)*2</f>
        <v>0</v>
      </c>
      <c r="M55" s="99">
        <f>IF(Table1[[#This Row],[MP]]="⮽",0,1)</f>
        <v>0</v>
      </c>
      <c r="N55" s="99">
        <f>IF(Table1[[#This Row],[ELE]]="⮽",0,1)</f>
        <v>0</v>
      </c>
      <c r="O55" s="99">
        <f>IF(Table1[[#This Row],[FP]]="⮽",0,1)</f>
        <v>0</v>
      </c>
      <c r="P55" s="101">
        <v>2</v>
      </c>
      <c r="Q55" s="101" t="s">
        <v>472</v>
      </c>
      <c r="R55" s="101">
        <f>IF(Table1[[#This Row],[Size (S, M, L)]]="S",2,IF(Table1[[#This Row],[Size (S, M, L)]]="L",1,4))</f>
        <v>2</v>
      </c>
      <c r="S55" t="s">
        <v>462</v>
      </c>
      <c r="T55" s="101">
        <f>IF(Table1[[#This Row],[TZone]]="EST",4,IF(Table1[[#This Row],[TZone]]="CST",3,IF(Table1[[#This Row],[TZone]]="MST",2,1)))</f>
        <v>3</v>
      </c>
      <c r="U55" s="101" t="s">
        <v>463</v>
      </c>
      <c r="V55" s="101">
        <f>IF(Table1[[#This Row],[Low-cost office?]]="Yes",-4,0)</f>
        <v>0</v>
      </c>
      <c r="W55" s="106"/>
      <c r="X55" t="s">
        <v>463</v>
      </c>
    </row>
    <row r="56" spans="1:24" x14ac:dyDescent="0.55000000000000004">
      <c r="A56" t="s">
        <v>350</v>
      </c>
      <c r="B56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6" t="s">
        <v>469</v>
      </c>
      <c r="D56" s="99" t="s">
        <v>470</v>
      </c>
      <c r="E56" s="99" t="s">
        <v>460</v>
      </c>
      <c r="F56" s="99" t="s">
        <v>470</v>
      </c>
      <c r="G56" s="99" t="s">
        <v>470</v>
      </c>
      <c r="H56" s="99" t="s">
        <v>470</v>
      </c>
      <c r="I56" s="98" t="s">
        <v>460</v>
      </c>
      <c r="J56" s="95">
        <f>IF(Table1[[#This Row],[CIV]]="⮽",0,1)*1.5</f>
        <v>0</v>
      </c>
      <c r="K56" s="95">
        <f>IF(Table1[[#This Row],[ARC]]="⮽",0,1)*3</f>
        <v>3</v>
      </c>
      <c r="L56" s="95">
        <f>IF(Table1[[#This Row],[STR]]="⮽",0,1)*2</f>
        <v>0</v>
      </c>
      <c r="M56" s="95">
        <f>IF(Table1[[#This Row],[MP]]="⮽",0,1)</f>
        <v>0</v>
      </c>
      <c r="N56" s="95">
        <f>IF(Table1[[#This Row],[ELE]]="⮽",0,1)</f>
        <v>0</v>
      </c>
      <c r="O56" s="95">
        <f>IF(Table1[[#This Row],[FP]]="⮽",0,1)</f>
        <v>0</v>
      </c>
      <c r="P56">
        <v>3</v>
      </c>
      <c r="Q56" t="s">
        <v>475</v>
      </c>
      <c r="R56">
        <f>IF(Table1[[#This Row],[Size (S, M, L)]]="S",2,IF(Table1[[#This Row],[Size (S, M, L)]]="L",1,4))</f>
        <v>2</v>
      </c>
      <c r="S56" t="s">
        <v>465</v>
      </c>
      <c r="T56">
        <f>IF(Table1[[#This Row],[TZone]]="EST",4,IF(Table1[[#This Row],[TZone]]="CST",3,IF(Table1[[#This Row],[TZone]]="MST",2,1)))</f>
        <v>3</v>
      </c>
      <c r="U56" s="101" t="s">
        <v>463</v>
      </c>
      <c r="V56">
        <f>IF(Table1[[#This Row],[Low-cost office?]]="Yes",-4,0)</f>
        <v>0</v>
      </c>
      <c r="X56" t="s">
        <v>463</v>
      </c>
    </row>
    <row r="57" spans="1:24" x14ac:dyDescent="0.55000000000000004">
      <c r="A57" t="s">
        <v>628</v>
      </c>
      <c r="B5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7" s="101" t="s">
        <v>469</v>
      </c>
      <c r="D57" s="99" t="s">
        <v>470</v>
      </c>
      <c r="E57" s="99" t="s">
        <v>460</v>
      </c>
      <c r="F57" s="99" t="s">
        <v>470</v>
      </c>
      <c r="G57" s="99" t="s">
        <v>470</v>
      </c>
      <c r="H57" s="99" t="s">
        <v>470</v>
      </c>
      <c r="I57" s="98" t="s">
        <v>460</v>
      </c>
      <c r="J57" s="99">
        <f>IF(Table1[[#This Row],[CIV]]="⮽",0,1)*1.5</f>
        <v>0</v>
      </c>
      <c r="K57" s="99">
        <f>IF(Table1[[#This Row],[ARC]]="⮽",0,1)*3</f>
        <v>3</v>
      </c>
      <c r="L57" s="99">
        <f>IF(Table1[[#This Row],[STR]]="⮽",0,1)*2</f>
        <v>0</v>
      </c>
      <c r="M57" s="99">
        <f>IF(Table1[[#This Row],[MP]]="⮽",0,1)</f>
        <v>0</v>
      </c>
      <c r="N57" s="99">
        <f>IF(Table1[[#This Row],[ELE]]="⮽",0,1)</f>
        <v>0</v>
      </c>
      <c r="O57" s="99">
        <f>IF(Table1[[#This Row],[FP]]="⮽",0,1)</f>
        <v>0</v>
      </c>
      <c r="P57" s="101">
        <v>2</v>
      </c>
      <c r="Q57" s="101" t="s">
        <v>472</v>
      </c>
      <c r="R57" s="101">
        <f>IF(Table1[[#This Row],[Size (S, M, L)]]="S",2,IF(Table1[[#This Row],[Size (S, M, L)]]="L",1,4))</f>
        <v>2</v>
      </c>
      <c r="S57" t="s">
        <v>462</v>
      </c>
      <c r="T57" s="101">
        <f>IF(Table1[[#This Row],[TZone]]="EST",4,IF(Table1[[#This Row],[TZone]]="CST",3,IF(Table1[[#This Row],[TZone]]="MST",2,1)))</f>
        <v>3</v>
      </c>
      <c r="U57" s="101" t="s">
        <v>463</v>
      </c>
      <c r="V57" s="101">
        <f>IF(Table1[[#This Row],[Low-cost office?]]="Yes",-4,0)</f>
        <v>0</v>
      </c>
      <c r="W57" s="106"/>
      <c r="X57" t="s">
        <v>463</v>
      </c>
    </row>
    <row r="58" spans="1:24" x14ac:dyDescent="0.55000000000000004">
      <c r="A58" t="s">
        <v>629</v>
      </c>
      <c r="B5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14</v>
      </c>
      <c r="C58" s="101" t="s">
        <v>469</v>
      </c>
      <c r="D58" s="99" t="s">
        <v>470</v>
      </c>
      <c r="E58" s="99" t="s">
        <v>460</v>
      </c>
      <c r="F58" s="99" t="s">
        <v>470</v>
      </c>
      <c r="G58" s="99" t="s">
        <v>470</v>
      </c>
      <c r="H58" s="99" t="s">
        <v>470</v>
      </c>
      <c r="I58" s="98" t="s">
        <v>460</v>
      </c>
      <c r="J58" s="99">
        <f>IF(Table1[[#This Row],[CIV]]="⮽",0,1)*1.5</f>
        <v>0</v>
      </c>
      <c r="K58" s="99">
        <f>IF(Table1[[#This Row],[ARC]]="⮽",0,1)*3</f>
        <v>3</v>
      </c>
      <c r="L58" s="99">
        <f>IF(Table1[[#This Row],[STR]]="⮽",0,1)*2</f>
        <v>0</v>
      </c>
      <c r="M58" s="99">
        <f>IF(Table1[[#This Row],[MP]]="⮽",0,1)</f>
        <v>0</v>
      </c>
      <c r="N58" s="99">
        <f>IF(Table1[[#This Row],[ELE]]="⮽",0,1)</f>
        <v>0</v>
      </c>
      <c r="O58" s="99">
        <f>IF(Table1[[#This Row],[FP]]="⮽",0,1)</f>
        <v>0</v>
      </c>
      <c r="P58" s="101">
        <v>2</v>
      </c>
      <c r="Q58" s="101" t="s">
        <v>472</v>
      </c>
      <c r="R58" s="101">
        <f>IF(Table1[[#This Row],[Size (S, M, L)]]="S",2,IF(Table1[[#This Row],[Size (S, M, L)]]="L",1,4))</f>
        <v>2</v>
      </c>
      <c r="S58" s="101" t="s">
        <v>462</v>
      </c>
      <c r="T58" s="101">
        <f>IF(Table1[[#This Row],[TZone]]="EST",4,IF(Table1[[#This Row],[TZone]]="CST",3,IF(Table1[[#This Row],[TZone]]="MST",2,1)))</f>
        <v>3</v>
      </c>
      <c r="U58" s="101" t="s">
        <v>463</v>
      </c>
      <c r="V58" s="101">
        <f>IF(Table1[[#This Row],[Low-cost office?]]="Yes",-4,0)</f>
        <v>0</v>
      </c>
      <c r="W58" s="106"/>
      <c r="X58" t="s">
        <v>463</v>
      </c>
    </row>
    <row r="59" spans="1:24" x14ac:dyDescent="0.55000000000000004">
      <c r="A59" t="s">
        <v>630</v>
      </c>
      <c r="B59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59" t="s">
        <v>469</v>
      </c>
      <c r="D59" s="99" t="s">
        <v>470</v>
      </c>
      <c r="E59" s="99" t="s">
        <v>470</v>
      </c>
      <c r="F59" s="99" t="s">
        <v>460</v>
      </c>
      <c r="G59" s="99" t="s">
        <v>460</v>
      </c>
      <c r="H59" s="99" t="s">
        <v>460</v>
      </c>
      <c r="I59" s="99" t="s">
        <v>470</v>
      </c>
      <c r="J59" s="94">
        <f>IF(Table1[[#This Row],[CIV]]="⮽",0,1)*1.5</f>
        <v>1.5</v>
      </c>
      <c r="K59" s="94">
        <f>IF(Table1[[#This Row],[ARC]]="⮽",0,1)*3</f>
        <v>3</v>
      </c>
      <c r="L59" s="94">
        <f>IF(Table1[[#This Row],[STR]]="⮽",0,1)*2</f>
        <v>2</v>
      </c>
      <c r="M59" s="94">
        <f>IF(Table1[[#This Row],[MP]]="⮽",0,1)</f>
        <v>1</v>
      </c>
      <c r="N59" s="94">
        <f>IF(Table1[[#This Row],[ELE]]="⮽",0,1)</f>
        <v>1</v>
      </c>
      <c r="O59" s="94">
        <f>IF(Table1[[#This Row],[FP]]="⮽",0,1)</f>
        <v>1</v>
      </c>
      <c r="P59" s="101">
        <v>2</v>
      </c>
      <c r="Q59" s="101" t="s">
        <v>472</v>
      </c>
      <c r="R59">
        <f>IF(Table1[[#This Row],[Size (S, M, L)]]="S",2,IF(Table1[[#This Row],[Size (S, M, L)]]="L",1,4))</f>
        <v>1</v>
      </c>
      <c r="S59" t="s">
        <v>462</v>
      </c>
      <c r="T59">
        <f>IF(Table1[[#This Row],[TZone]]="EST",4,IF(Table1[[#This Row],[TZone]]="CST",3,IF(Table1[[#This Row],[TZone]]="MST",2,1)))</f>
        <v>3</v>
      </c>
      <c r="U59" s="101" t="s">
        <v>463</v>
      </c>
      <c r="V59">
        <f>IF(Table1[[#This Row],[Low-cost office?]]="Yes",-4,0)</f>
        <v>-4</v>
      </c>
      <c r="X59" t="s">
        <v>463</v>
      </c>
    </row>
    <row r="60" spans="1:24" x14ac:dyDescent="0.55000000000000004">
      <c r="A60" t="s">
        <v>631</v>
      </c>
      <c r="B6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60" s="101" t="s">
        <v>469</v>
      </c>
      <c r="D60" s="107" t="s">
        <v>470</v>
      </c>
      <c r="E60" s="99" t="s">
        <v>460</v>
      </c>
      <c r="F60" s="107" t="s">
        <v>470</v>
      </c>
      <c r="G60" s="107" t="s">
        <v>470</v>
      </c>
      <c r="H60" s="107" t="s">
        <v>470</v>
      </c>
      <c r="I60" s="98" t="s">
        <v>460</v>
      </c>
      <c r="J60" s="99">
        <f>IF(Table1[[#This Row],[CIV]]="⮽",0,1)*1.5</f>
        <v>1.5</v>
      </c>
      <c r="K60" s="99">
        <f>IF(Table1[[#This Row],[ARC]]="⮽",0,1)*3</f>
        <v>0</v>
      </c>
      <c r="L60" s="99">
        <f>IF(Table1[[#This Row],[STR]]="⮽",0,1)*2</f>
        <v>0</v>
      </c>
      <c r="M60" s="99">
        <f>IF(Table1[[#This Row],[MP]]="⮽",0,1)</f>
        <v>0</v>
      </c>
      <c r="N60" s="99">
        <f>IF(Table1[[#This Row],[ELE]]="⮽",0,1)</f>
        <v>0</v>
      </c>
      <c r="O60" s="99">
        <f>IF(Table1[[#This Row],[FP]]="⮽",0,1)</f>
        <v>0</v>
      </c>
      <c r="P60" s="101">
        <v>2</v>
      </c>
      <c r="Q60" s="101" t="s">
        <v>461</v>
      </c>
      <c r="R60" s="101">
        <f>IF(Table1[[#This Row],[Size (S, M, L)]]="S",2,IF(Table1[[#This Row],[Size (S, M, L)]]="L",1,4))</f>
        <v>4</v>
      </c>
      <c r="S60" t="s">
        <v>473</v>
      </c>
      <c r="T60" s="101">
        <f>IF(Table1[[#This Row],[TZone]]="EST",4,IF(Table1[[#This Row],[TZone]]="CST",3,IF(Table1[[#This Row],[TZone]]="MST",2,1)))</f>
        <v>4</v>
      </c>
      <c r="U60" s="101" t="s">
        <v>463</v>
      </c>
      <c r="V60" s="101">
        <f>IF(Table1[[#This Row],[Low-cost office?]]="Yes",-4,0)</f>
        <v>0</v>
      </c>
      <c r="W60" s="106"/>
      <c r="X60" t="s">
        <v>463</v>
      </c>
    </row>
    <row r="61" spans="1:24" x14ac:dyDescent="0.55000000000000004">
      <c r="A61" t="s">
        <v>632</v>
      </c>
      <c r="B6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61" t="s">
        <v>469</v>
      </c>
      <c r="D61" s="107" t="s">
        <v>470</v>
      </c>
      <c r="E61" s="99" t="s">
        <v>460</v>
      </c>
      <c r="F61" s="107" t="s">
        <v>470</v>
      </c>
      <c r="G61" s="107" t="s">
        <v>470</v>
      </c>
      <c r="H61" s="107" t="s">
        <v>470</v>
      </c>
      <c r="I61" s="98" t="s">
        <v>460</v>
      </c>
      <c r="J61" s="95">
        <f>IF(Table1[[#This Row],[CIV]]="⮽",0,1)*1.5</f>
        <v>1.5</v>
      </c>
      <c r="K61" s="95">
        <f>IF(Table1[[#This Row],[ARC]]="⮽",0,1)*3</f>
        <v>3</v>
      </c>
      <c r="L61" s="95">
        <f>IF(Table1[[#This Row],[STR]]="⮽",0,1)*2</f>
        <v>0</v>
      </c>
      <c r="M61" s="95">
        <f>IF(Table1[[#This Row],[MP]]="⮽",0,1)</f>
        <v>0</v>
      </c>
      <c r="N61" s="95">
        <f>IF(Table1[[#This Row],[ELE]]="⮽",0,1)</f>
        <v>0</v>
      </c>
      <c r="O61" s="95">
        <f>IF(Table1[[#This Row],[FP]]="⮽",0,1)</f>
        <v>0</v>
      </c>
      <c r="P61" s="101">
        <v>2</v>
      </c>
      <c r="Q61" s="101" t="s">
        <v>472</v>
      </c>
      <c r="R61">
        <f>IF(Table1[[#This Row],[Size (S, M, L)]]="S",2,IF(Table1[[#This Row],[Size (S, M, L)]]="L",1,4))</f>
        <v>2</v>
      </c>
      <c r="S61" t="s">
        <v>462</v>
      </c>
      <c r="T61">
        <f>IF(Table1[[#This Row],[TZone]]="EST",4,IF(Table1[[#This Row],[TZone]]="CST",3,IF(Table1[[#This Row],[TZone]]="MST",2,1)))</f>
        <v>3</v>
      </c>
      <c r="U61" s="101" t="s">
        <v>463</v>
      </c>
      <c r="V61">
        <f>IF(Table1[[#This Row],[Low-cost office?]]="Yes",-4,0)</f>
        <v>0</v>
      </c>
      <c r="X61" t="s">
        <v>463</v>
      </c>
    </row>
    <row r="62" spans="1:24" x14ac:dyDescent="0.55000000000000004">
      <c r="A62" t="s">
        <v>633</v>
      </c>
      <c r="B6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62" s="101" t="s">
        <v>469</v>
      </c>
      <c r="D62" s="107" t="s">
        <v>470</v>
      </c>
      <c r="E62" s="99" t="s">
        <v>460</v>
      </c>
      <c r="F62" s="107" t="s">
        <v>470</v>
      </c>
      <c r="G62" s="107" t="s">
        <v>470</v>
      </c>
      <c r="H62" s="107" t="s">
        <v>470</v>
      </c>
      <c r="I62" s="98" t="s">
        <v>460</v>
      </c>
      <c r="J62" s="99">
        <f>IF(Table1[[#This Row],[CIV]]="⮽",0,1)*1.5</f>
        <v>1.5</v>
      </c>
      <c r="K62" s="99">
        <f>IF(Table1[[#This Row],[ARC]]="⮽",0,1)*3</f>
        <v>3</v>
      </c>
      <c r="L62" s="99">
        <f>IF(Table1[[#This Row],[STR]]="⮽",0,1)*2</f>
        <v>0</v>
      </c>
      <c r="M62" s="99">
        <f>IF(Table1[[#This Row],[MP]]="⮽",0,1)</f>
        <v>1</v>
      </c>
      <c r="N62" s="99">
        <f>IF(Table1[[#This Row],[ELE]]="⮽",0,1)</f>
        <v>1</v>
      </c>
      <c r="O62" s="99">
        <f>IF(Table1[[#This Row],[FP]]="⮽",0,1)</f>
        <v>0</v>
      </c>
      <c r="P62" s="101">
        <v>2</v>
      </c>
      <c r="Q62" s="101" t="s">
        <v>472</v>
      </c>
      <c r="R62" s="101">
        <f>IF(Table1[[#This Row],[Size (S, M, L)]]="S",2,IF(Table1[[#This Row],[Size (S, M, L)]]="L",1,4))</f>
        <v>2</v>
      </c>
      <c r="S62" t="s">
        <v>462</v>
      </c>
      <c r="T62" s="101">
        <f>IF(Table1[[#This Row],[TZone]]="EST",4,IF(Table1[[#This Row],[TZone]]="CST",3,IF(Table1[[#This Row],[TZone]]="MST",2,1)))</f>
        <v>3</v>
      </c>
      <c r="U62" s="101" t="s">
        <v>463</v>
      </c>
      <c r="V62" s="101">
        <f>IF(Table1[[#This Row],[Low-cost office?]]="Yes",-4,0)</f>
        <v>0</v>
      </c>
      <c r="W62" s="106"/>
      <c r="X62" t="s">
        <v>463</v>
      </c>
    </row>
    <row r="63" spans="1:24" x14ac:dyDescent="0.55000000000000004">
      <c r="A63" t="s">
        <v>634</v>
      </c>
      <c r="B6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63" s="101" t="s">
        <v>469</v>
      </c>
      <c r="D63" s="99" t="s">
        <v>470</v>
      </c>
      <c r="E63" s="98" t="s">
        <v>460</v>
      </c>
      <c r="F63" s="99" t="s">
        <v>470</v>
      </c>
      <c r="G63" s="99" t="s">
        <v>470</v>
      </c>
      <c r="H63" s="99" t="s">
        <v>470</v>
      </c>
      <c r="I63" s="98" t="s">
        <v>460</v>
      </c>
      <c r="J63" s="99">
        <f>IF(Table1[[#This Row],[CIV]]="⮽",0,1)*1.5</f>
        <v>1.5</v>
      </c>
      <c r="K63" s="99">
        <f>IF(Table1[[#This Row],[ARC]]="⮽",0,1)*3</f>
        <v>0</v>
      </c>
      <c r="L63" s="99">
        <f>IF(Table1[[#This Row],[STR]]="⮽",0,1)*2</f>
        <v>0</v>
      </c>
      <c r="M63" s="99">
        <f>IF(Table1[[#This Row],[MP]]="⮽",0,1)</f>
        <v>0</v>
      </c>
      <c r="N63" s="99">
        <f>IF(Table1[[#This Row],[ELE]]="⮽",0,1)</f>
        <v>0</v>
      </c>
      <c r="O63" s="99">
        <f>IF(Table1[[#This Row],[FP]]="⮽",0,1)</f>
        <v>0</v>
      </c>
      <c r="P63" s="101">
        <v>2</v>
      </c>
      <c r="Q63" s="101" t="s">
        <v>472</v>
      </c>
      <c r="R63" s="101">
        <f>IF(Table1[[#This Row],[Size (S, M, L)]]="S",2,IF(Table1[[#This Row],[Size (S, M, L)]]="L",1,4))</f>
        <v>2</v>
      </c>
      <c r="S63" t="s">
        <v>462</v>
      </c>
      <c r="T63" s="101">
        <f>IF(Table1[[#This Row],[TZone]]="EST",4,IF(Table1[[#This Row],[TZone]]="CST",3,IF(Table1[[#This Row],[TZone]]="MST",2,1)))</f>
        <v>4</v>
      </c>
      <c r="U63" s="101" t="s">
        <v>463</v>
      </c>
      <c r="V63" s="101">
        <f>IF(Table1[[#This Row],[Low-cost office?]]="Yes",-4,0)</f>
        <v>0</v>
      </c>
      <c r="W63" s="106"/>
      <c r="X63" t="s">
        <v>463</v>
      </c>
    </row>
    <row r="64" spans="1:24" x14ac:dyDescent="0.55000000000000004">
      <c r="A64" t="s">
        <v>635</v>
      </c>
      <c r="B6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13.5</v>
      </c>
      <c r="C64" s="101" t="s">
        <v>469</v>
      </c>
      <c r="D64" s="99" t="s">
        <v>470</v>
      </c>
      <c r="E64" s="98" t="s">
        <v>460</v>
      </c>
      <c r="F64" s="99" t="s">
        <v>470</v>
      </c>
      <c r="G64" s="99" t="s">
        <v>470</v>
      </c>
      <c r="H64" s="99" t="s">
        <v>470</v>
      </c>
      <c r="I64" s="98" t="s">
        <v>460</v>
      </c>
      <c r="J64" s="99">
        <f>IF(Table1[[#This Row],[CIV]]="⮽",0,1)*1.5</f>
        <v>1.5</v>
      </c>
      <c r="K64" s="99">
        <f>IF(Table1[[#This Row],[ARC]]="⮽",0,1)*3</f>
        <v>3</v>
      </c>
      <c r="L64" s="99">
        <f>IF(Table1[[#This Row],[STR]]="⮽",0,1)*2</f>
        <v>0</v>
      </c>
      <c r="M64" s="99">
        <f>IF(Table1[[#This Row],[MP]]="⮽",0,1)</f>
        <v>0</v>
      </c>
      <c r="N64" s="99">
        <f>IF(Table1[[#This Row],[ELE]]="⮽",0,1)</f>
        <v>0</v>
      </c>
      <c r="O64" s="99">
        <f>IF(Table1[[#This Row],[FP]]="⮽",0,1)</f>
        <v>0</v>
      </c>
      <c r="P64" s="101">
        <v>2</v>
      </c>
      <c r="Q64" s="101" t="s">
        <v>472</v>
      </c>
      <c r="R64" s="101">
        <f>IF(Table1[[#This Row],[Size (S, M, L)]]="S",2,IF(Table1[[#This Row],[Size (S, M, L)]]="L",1,4))</f>
        <v>2</v>
      </c>
      <c r="S64" s="101" t="s">
        <v>462</v>
      </c>
      <c r="T64" s="101">
        <f>IF(Table1[[#This Row],[TZone]]="EST",4,IF(Table1[[#This Row],[TZone]]="CST",3,IF(Table1[[#This Row],[TZone]]="MST",2,1)))</f>
        <v>1</v>
      </c>
      <c r="U64" s="101" t="s">
        <v>463</v>
      </c>
      <c r="V64" s="101">
        <f>IF(Table1[[#This Row],[Low-cost office?]]="Yes",-4,0)</f>
        <v>0</v>
      </c>
      <c r="W64" s="106"/>
      <c r="X64" t="s">
        <v>463</v>
      </c>
    </row>
    <row r="65" spans="1:24" x14ac:dyDescent="0.55000000000000004">
      <c r="A65" t="s">
        <v>636</v>
      </c>
      <c r="B65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65" t="s">
        <v>469</v>
      </c>
      <c r="D65" s="99" t="s">
        <v>470</v>
      </c>
      <c r="E65" s="98" t="s">
        <v>460</v>
      </c>
      <c r="F65" s="99" t="s">
        <v>470</v>
      </c>
      <c r="G65" s="99" t="s">
        <v>470</v>
      </c>
      <c r="H65" s="99" t="s">
        <v>470</v>
      </c>
      <c r="I65" s="98" t="s">
        <v>460</v>
      </c>
      <c r="J65" s="95">
        <f>IF(Table1[[#This Row],[CIV]]="⮽",0,1)*1.5</f>
        <v>0</v>
      </c>
      <c r="K65" s="95">
        <f>IF(Table1[[#This Row],[ARC]]="⮽",0,1)*3</f>
        <v>3</v>
      </c>
      <c r="L65" s="95">
        <f>IF(Table1[[#This Row],[STR]]="⮽",0,1)*2</f>
        <v>0</v>
      </c>
      <c r="M65" s="95">
        <f>IF(Table1[[#This Row],[MP]]="⮽",0,1)</f>
        <v>0</v>
      </c>
      <c r="N65" s="95">
        <f>IF(Table1[[#This Row],[ELE]]="⮽",0,1)</f>
        <v>0</v>
      </c>
      <c r="O65" s="95">
        <f>IF(Table1[[#This Row],[FP]]="⮽",0,1)</f>
        <v>0</v>
      </c>
      <c r="P65" s="101">
        <v>2</v>
      </c>
      <c r="Q65" t="s">
        <v>472</v>
      </c>
      <c r="R65">
        <f>IF(Table1[[#This Row],[Size (S, M, L)]]="S",2,IF(Table1[[#This Row],[Size (S, M, L)]]="L",1,4))</f>
        <v>2</v>
      </c>
      <c r="S65" t="s">
        <v>462</v>
      </c>
      <c r="T65">
        <f>IF(Table1[[#This Row],[TZone]]="EST",4,IF(Table1[[#This Row],[TZone]]="CST",3,IF(Table1[[#This Row],[TZone]]="MST",2,1)))</f>
        <v>4</v>
      </c>
      <c r="U65" t="s">
        <v>463</v>
      </c>
      <c r="V65">
        <f>IF(Table1[[#This Row],[Low-cost office?]]="Yes",-4,0)</f>
        <v>0</v>
      </c>
      <c r="X65" t="s">
        <v>463</v>
      </c>
    </row>
    <row r="66" spans="1:24" x14ac:dyDescent="0.55000000000000004">
      <c r="A66" t="s">
        <v>637</v>
      </c>
      <c r="B66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66" t="s">
        <v>469</v>
      </c>
      <c r="D66" s="99" t="s">
        <v>470</v>
      </c>
      <c r="E66" s="98" t="s">
        <v>460</v>
      </c>
      <c r="F66" s="98" t="s">
        <v>470</v>
      </c>
      <c r="G66" s="98" t="s">
        <v>470</v>
      </c>
      <c r="H66" s="99" t="s">
        <v>470</v>
      </c>
      <c r="I66" s="98" t="s">
        <v>460</v>
      </c>
      <c r="J66" s="95">
        <f>IF(Table1[[#This Row],[CIV]]="⮽",0,1)*1.5</f>
        <v>0</v>
      </c>
      <c r="K66" s="95">
        <f>IF(Table1[[#This Row],[ARC]]="⮽",0,1)*3</f>
        <v>3</v>
      </c>
      <c r="L66" s="95">
        <f>IF(Table1[[#This Row],[STR]]="⮽",0,1)*2</f>
        <v>0</v>
      </c>
      <c r="M66" s="95">
        <f>IF(Table1[[#This Row],[MP]]="⮽",0,1)</f>
        <v>0</v>
      </c>
      <c r="N66" s="95">
        <f>IF(Table1[[#This Row],[ELE]]="⮽",0,1)</f>
        <v>0</v>
      </c>
      <c r="O66" s="95">
        <f>IF(Table1[[#This Row],[FP]]="⮽",0,1)</f>
        <v>0</v>
      </c>
      <c r="P66" s="101">
        <v>2</v>
      </c>
      <c r="Q66" t="s">
        <v>472</v>
      </c>
      <c r="R66">
        <f>IF(Table1[[#This Row],[Size (S, M, L)]]="S",2,IF(Table1[[#This Row],[Size (S, M, L)]]="L",1,4))</f>
        <v>2</v>
      </c>
      <c r="S66" t="s">
        <v>462</v>
      </c>
      <c r="T66">
        <f>IF(Table1[[#This Row],[TZone]]="EST",4,IF(Table1[[#This Row],[TZone]]="CST",3,IF(Table1[[#This Row],[TZone]]="MST",2,1)))</f>
        <v>4</v>
      </c>
      <c r="U66" t="s">
        <v>463</v>
      </c>
      <c r="V66">
        <f>IF(Table1[[#This Row],[Low-cost office?]]="Yes",-4,0)</f>
        <v>0</v>
      </c>
      <c r="X66" t="s">
        <v>463</v>
      </c>
    </row>
    <row r="67" spans="1:24" x14ac:dyDescent="0.55000000000000004">
      <c r="A67" t="s">
        <v>638</v>
      </c>
      <c r="B6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67" s="101" t="s">
        <v>469</v>
      </c>
      <c r="D67" s="99" t="s">
        <v>470</v>
      </c>
      <c r="E67" s="99" t="s">
        <v>470</v>
      </c>
      <c r="F67" s="98" t="s">
        <v>460</v>
      </c>
      <c r="G67" s="99" t="s">
        <v>470</v>
      </c>
      <c r="H67" s="99" t="s">
        <v>470</v>
      </c>
      <c r="I67" s="99" t="s">
        <v>470</v>
      </c>
      <c r="J67" s="99">
        <f>IF(Table1[[#This Row],[CIV]]="⮽",0,1)*1.5</f>
        <v>0</v>
      </c>
      <c r="K67" s="99">
        <f>IF(Table1[[#This Row],[ARC]]="⮽",0,1)*3</f>
        <v>3</v>
      </c>
      <c r="L67" s="99">
        <f>IF(Table1[[#This Row],[STR]]="⮽",0,1)*2</f>
        <v>0</v>
      </c>
      <c r="M67" s="99">
        <f>IF(Table1[[#This Row],[MP]]="⮽",0,1)</f>
        <v>0</v>
      </c>
      <c r="N67" s="99">
        <f>IF(Table1[[#This Row],[ELE]]="⮽",0,1)</f>
        <v>0</v>
      </c>
      <c r="O67" s="99">
        <f>IF(Table1[[#This Row],[FP]]="⮽",0,1)</f>
        <v>0</v>
      </c>
      <c r="P67">
        <v>2</v>
      </c>
      <c r="Q67" s="101" t="s">
        <v>461</v>
      </c>
      <c r="R67" s="101">
        <f>IF(Table1[[#This Row],[Size (S, M, L)]]="S",2,IF(Table1[[#This Row],[Size (S, M, L)]]="L",1,4))</f>
        <v>2</v>
      </c>
      <c r="S67" t="s">
        <v>462</v>
      </c>
      <c r="T67" s="101">
        <f>IF(Table1[[#This Row],[TZone]]="EST",4,IF(Table1[[#This Row],[TZone]]="CST",3,IF(Table1[[#This Row],[TZone]]="MST",2,1)))</f>
        <v>4</v>
      </c>
      <c r="U67" t="s">
        <v>463</v>
      </c>
      <c r="V67" s="101">
        <f>IF(Table1[[#This Row],[Low-cost office?]]="Yes",-4,0)</f>
        <v>0</v>
      </c>
      <c r="W67" s="106"/>
      <c r="X67" t="s">
        <v>463</v>
      </c>
    </row>
    <row r="68" spans="1:24" x14ac:dyDescent="0.55000000000000004">
      <c r="A68" t="s">
        <v>499</v>
      </c>
      <c r="B6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68" s="101" t="s">
        <v>459</v>
      </c>
      <c r="D68" s="99" t="s">
        <v>470</v>
      </c>
      <c r="E68" s="99" t="s">
        <v>460</v>
      </c>
      <c r="F68" s="99" t="s">
        <v>470</v>
      </c>
      <c r="G68" s="99" t="s">
        <v>470</v>
      </c>
      <c r="H68" s="99" t="s">
        <v>470</v>
      </c>
      <c r="I68" s="99" t="s">
        <v>470</v>
      </c>
      <c r="J68" s="99">
        <f>IF(Table1[[#This Row],[CIV]]="⮽",0,1)*1.5</f>
        <v>0</v>
      </c>
      <c r="K68" s="99">
        <f>IF(Table1[[#This Row],[ARC]]="⮽",0,1)*3</f>
        <v>0</v>
      </c>
      <c r="L68" s="99">
        <f>IF(Table1[[#This Row],[STR]]="⮽",0,1)*2</f>
        <v>0</v>
      </c>
      <c r="M68" s="99">
        <f>IF(Table1[[#This Row],[MP]]="⮽",0,1)</f>
        <v>1</v>
      </c>
      <c r="N68" s="99">
        <f>IF(Table1[[#This Row],[ELE]]="⮽",0,1)</f>
        <v>1</v>
      </c>
      <c r="O68" s="99">
        <f>IF(Table1[[#This Row],[FP]]="⮽",0,1)</f>
        <v>1</v>
      </c>
      <c r="P68" s="101">
        <v>3</v>
      </c>
      <c r="Q68" t="s">
        <v>472</v>
      </c>
      <c r="R68" s="101">
        <f>IF(Table1[[#This Row],[Size (S, M, L)]]="S",2,IF(Table1[[#This Row],[Size (S, M, L)]]="L",1,4))</f>
        <v>2</v>
      </c>
      <c r="S68" t="s">
        <v>465</v>
      </c>
      <c r="T68" s="101">
        <f>IF(Table1[[#This Row],[TZone]]="EST",4,IF(Table1[[#This Row],[TZone]]="CST",3,IF(Table1[[#This Row],[TZone]]="MST",2,1)))</f>
        <v>4</v>
      </c>
      <c r="U68" t="s">
        <v>463</v>
      </c>
      <c r="V68" s="101">
        <f>IF(Table1[[#This Row],[Low-cost office?]]="Yes",-4,0)</f>
        <v>0</v>
      </c>
      <c r="W68" s="106"/>
      <c r="X68" t="s">
        <v>479</v>
      </c>
    </row>
    <row r="69" spans="1:24" x14ac:dyDescent="0.55000000000000004">
      <c r="A69" t="s">
        <v>639</v>
      </c>
      <c r="B6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69" s="101" t="s">
        <v>469</v>
      </c>
      <c r="D69" s="99" t="s">
        <v>470</v>
      </c>
      <c r="E69" s="99" t="s">
        <v>470</v>
      </c>
      <c r="F69" s="99" t="s">
        <v>470</v>
      </c>
      <c r="G69" s="99" t="s">
        <v>460</v>
      </c>
      <c r="H69" s="99" t="s">
        <v>460</v>
      </c>
      <c r="I69" s="99" t="s">
        <v>460</v>
      </c>
      <c r="J69" s="99">
        <f>IF(Table1[[#This Row],[CIV]]="⮽",0,1)*1.5</f>
        <v>0</v>
      </c>
      <c r="K69" s="99">
        <f>IF(Table1[[#This Row],[ARC]]="⮽",0,1)*3</f>
        <v>3</v>
      </c>
      <c r="L69" s="99">
        <f>IF(Table1[[#This Row],[STR]]="⮽",0,1)*2</f>
        <v>0</v>
      </c>
      <c r="M69" s="99">
        <f>IF(Table1[[#This Row],[MP]]="⮽",0,1)</f>
        <v>0</v>
      </c>
      <c r="N69" s="99">
        <f>IF(Table1[[#This Row],[ELE]]="⮽",0,1)</f>
        <v>0</v>
      </c>
      <c r="O69" s="99">
        <f>IF(Table1[[#This Row],[FP]]="⮽",0,1)</f>
        <v>0</v>
      </c>
      <c r="P69" s="101">
        <v>2</v>
      </c>
      <c r="Q69" t="s">
        <v>461</v>
      </c>
      <c r="R69" s="101">
        <f>IF(Table1[[#This Row],[Size (S, M, L)]]="S",2,IF(Table1[[#This Row],[Size (S, M, L)]]="L",1,4))</f>
        <v>2</v>
      </c>
      <c r="S69" s="101" t="s">
        <v>465</v>
      </c>
      <c r="T69" s="101">
        <f>IF(Table1[[#This Row],[TZone]]="EST",4,IF(Table1[[#This Row],[TZone]]="CST",3,IF(Table1[[#This Row],[TZone]]="MST",2,1)))</f>
        <v>4</v>
      </c>
      <c r="U69" t="s">
        <v>463</v>
      </c>
      <c r="V69" s="101">
        <f>IF(Table1[[#This Row],[Low-cost office?]]="Yes",-4,0)</f>
        <v>0</v>
      </c>
      <c r="W69" s="106"/>
      <c r="X69" t="s">
        <v>479</v>
      </c>
    </row>
    <row r="70" spans="1:24" x14ac:dyDescent="0.55000000000000004">
      <c r="A70" t="s">
        <v>501</v>
      </c>
      <c r="B7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13</v>
      </c>
      <c r="C70" s="101" t="s">
        <v>469</v>
      </c>
      <c r="D70" s="99" t="s">
        <v>470</v>
      </c>
      <c r="E70" s="98" t="s">
        <v>460</v>
      </c>
      <c r="F70" s="99" t="s">
        <v>470</v>
      </c>
      <c r="G70" s="99" t="s">
        <v>470</v>
      </c>
      <c r="H70" s="99" t="s">
        <v>470</v>
      </c>
      <c r="I70" s="99" t="s">
        <v>470</v>
      </c>
      <c r="J70" s="99">
        <f>IF(Table1[[#This Row],[CIV]]="⮽",0,1)*1.5</f>
        <v>0</v>
      </c>
      <c r="K70" s="99">
        <f>IF(Table1[[#This Row],[ARC]]="⮽",0,1)*3</f>
        <v>3</v>
      </c>
      <c r="L70" s="99">
        <f>IF(Table1[[#This Row],[STR]]="⮽",0,1)*2</f>
        <v>0</v>
      </c>
      <c r="M70" s="99">
        <f>IF(Table1[[#This Row],[MP]]="⮽",0,1)</f>
        <v>0</v>
      </c>
      <c r="N70" s="99">
        <f>IF(Table1[[#This Row],[ELE]]="⮽",0,1)</f>
        <v>0</v>
      </c>
      <c r="O70" s="99">
        <f>IF(Table1[[#This Row],[FP]]="⮽",0,1)</f>
        <v>0</v>
      </c>
      <c r="P70">
        <v>3</v>
      </c>
      <c r="Q70" s="101" t="s">
        <v>472</v>
      </c>
      <c r="R70" s="101">
        <f>IF(Table1[[#This Row],[Size (S, M, L)]]="S",2,IF(Table1[[#This Row],[Size (S, M, L)]]="L",1,4))</f>
        <v>4</v>
      </c>
      <c r="S70" s="101" t="s">
        <v>465</v>
      </c>
      <c r="T70" s="101">
        <f>IF(Table1[[#This Row],[TZone]]="EST",4,IF(Table1[[#This Row],[TZone]]="CST",3,IF(Table1[[#This Row],[TZone]]="MST",2,1)))</f>
        <v>4</v>
      </c>
      <c r="U70" t="s">
        <v>463</v>
      </c>
      <c r="V70" s="101">
        <f>IF(Table1[[#This Row],[Low-cost office?]]="Yes",-4,0)</f>
        <v>0</v>
      </c>
      <c r="W70" s="106"/>
      <c r="X70" t="s">
        <v>479</v>
      </c>
    </row>
    <row r="71" spans="1:24" x14ac:dyDescent="0.55000000000000004">
      <c r="A71" t="s">
        <v>502</v>
      </c>
      <c r="B7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12.5</v>
      </c>
      <c r="C71" t="s">
        <v>469</v>
      </c>
      <c r="D71" s="99" t="s">
        <v>470</v>
      </c>
      <c r="E71" s="98" t="s">
        <v>460</v>
      </c>
      <c r="F71" s="99" t="s">
        <v>470</v>
      </c>
      <c r="G71" s="99" t="s">
        <v>470</v>
      </c>
      <c r="H71" s="99" t="s">
        <v>470</v>
      </c>
      <c r="I71" s="99" t="s">
        <v>470</v>
      </c>
      <c r="J71" s="95">
        <f>IF(Table1[[#This Row],[CIV]]="⮽",0,1)*1.5</f>
        <v>1.5</v>
      </c>
      <c r="K71" s="95">
        <f>IF(Table1[[#This Row],[ARC]]="⮽",0,1)*3</f>
        <v>0</v>
      </c>
      <c r="L71" s="95">
        <f>IF(Table1[[#This Row],[STR]]="⮽",0,1)*2</f>
        <v>0</v>
      </c>
      <c r="M71" s="95">
        <f>IF(Table1[[#This Row],[MP]]="⮽",0,1)</f>
        <v>0</v>
      </c>
      <c r="N71" s="95">
        <f>IF(Table1[[#This Row],[ELE]]="⮽",0,1)</f>
        <v>0</v>
      </c>
      <c r="O71" s="95">
        <f>IF(Table1[[#This Row],[FP]]="⮽",0,1)</f>
        <v>0</v>
      </c>
      <c r="P71" s="101">
        <v>3</v>
      </c>
      <c r="Q71" s="101" t="s">
        <v>472</v>
      </c>
      <c r="R71">
        <f>IF(Table1[[#This Row],[Size (S, M, L)]]="S",2,IF(Table1[[#This Row],[Size (S, M, L)]]="L",1,4))</f>
        <v>1</v>
      </c>
      <c r="S71" t="s">
        <v>465</v>
      </c>
      <c r="T71">
        <f>IF(Table1[[#This Row],[TZone]]="EST",4,IF(Table1[[#This Row],[TZone]]="CST",3,IF(Table1[[#This Row],[TZone]]="MST",2,1)))</f>
        <v>4</v>
      </c>
      <c r="U71" t="s">
        <v>463</v>
      </c>
      <c r="V71">
        <f>IF(Table1[[#This Row],[Low-cost office?]]="Yes",-4,0)</f>
        <v>0</v>
      </c>
      <c r="X71" t="s">
        <v>479</v>
      </c>
    </row>
    <row r="72" spans="1:24" x14ac:dyDescent="0.55000000000000004">
      <c r="A72" t="s">
        <v>503</v>
      </c>
      <c r="B7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12.5</v>
      </c>
      <c r="C72" s="101" t="s">
        <v>469</v>
      </c>
      <c r="D72" s="99" t="s">
        <v>470</v>
      </c>
      <c r="E72" s="98" t="s">
        <v>460</v>
      </c>
      <c r="F72" s="99" t="s">
        <v>470</v>
      </c>
      <c r="G72" s="99" t="s">
        <v>470</v>
      </c>
      <c r="H72" s="99" t="s">
        <v>470</v>
      </c>
      <c r="I72" s="99" t="s">
        <v>470</v>
      </c>
      <c r="J72" s="99">
        <f>IF(Table1[[#This Row],[CIV]]="⮽",0,1)*1.5</f>
        <v>1.5</v>
      </c>
      <c r="K72" s="99">
        <f>IF(Table1[[#This Row],[ARC]]="⮽",0,1)*3</f>
        <v>0</v>
      </c>
      <c r="L72" s="99">
        <f>IF(Table1[[#This Row],[STR]]="⮽",0,1)*2</f>
        <v>0</v>
      </c>
      <c r="M72" s="99">
        <f>IF(Table1[[#This Row],[MP]]="⮽",0,1)</f>
        <v>0</v>
      </c>
      <c r="N72" s="99">
        <f>IF(Table1[[#This Row],[ELE]]="⮽",0,1)</f>
        <v>0</v>
      </c>
      <c r="O72" s="99">
        <f>IF(Table1[[#This Row],[FP]]="⮽",0,1)</f>
        <v>0</v>
      </c>
      <c r="P72">
        <v>3</v>
      </c>
      <c r="Q72" s="101" t="s">
        <v>472</v>
      </c>
      <c r="R72" s="101">
        <f>IF(Table1[[#This Row],[Size (S, M, L)]]="S",2,IF(Table1[[#This Row],[Size (S, M, L)]]="L",1,4))</f>
        <v>4</v>
      </c>
      <c r="S72" s="101" t="s">
        <v>465</v>
      </c>
      <c r="T72" s="101">
        <f>IF(Table1[[#This Row],[TZone]]="EST",4,IF(Table1[[#This Row],[TZone]]="CST",3,IF(Table1[[#This Row],[TZone]]="MST",2,1)))</f>
        <v>3</v>
      </c>
      <c r="U72" t="s">
        <v>463</v>
      </c>
      <c r="V72" s="101">
        <f>IF(Table1[[#This Row],[Low-cost office?]]="Yes",-4,0)</f>
        <v>0</v>
      </c>
      <c r="W72" s="106"/>
      <c r="X72" t="s">
        <v>479</v>
      </c>
    </row>
    <row r="73" spans="1:24" x14ac:dyDescent="0.55000000000000004">
      <c r="A73" s="104" t="s">
        <v>505</v>
      </c>
      <c r="B73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12.5</v>
      </c>
      <c r="C73" t="s">
        <v>467</v>
      </c>
      <c r="D73" s="107" t="s">
        <v>470</v>
      </c>
      <c r="E73" s="98" t="s">
        <v>460</v>
      </c>
      <c r="F73" s="107" t="s">
        <v>470</v>
      </c>
      <c r="G73" s="107" t="s">
        <v>470</v>
      </c>
      <c r="H73" s="107" t="s">
        <v>470</v>
      </c>
      <c r="I73" s="107" t="s">
        <v>470</v>
      </c>
      <c r="J73" s="105">
        <f>IF(Table1[[#This Row],[CIV]]="⮽",0,1)*1.5</f>
        <v>1.5</v>
      </c>
      <c r="K73" s="105">
        <f>IF(Table1[[#This Row],[ARC]]="⮽",0,1)*3</f>
        <v>0</v>
      </c>
      <c r="L73" s="105">
        <f>IF(Table1[[#This Row],[STR]]="⮽",0,1)*2</f>
        <v>0</v>
      </c>
      <c r="M73" s="105">
        <f>IF(Table1[[#This Row],[MP]]="⮽",0,1)</f>
        <v>0</v>
      </c>
      <c r="N73" s="105">
        <f>IF(Table1[[#This Row],[ELE]]="⮽",0,1)</f>
        <v>0</v>
      </c>
      <c r="O73" s="105">
        <f>IF(Table1[[#This Row],[FP]]="⮽",0,1)</f>
        <v>0</v>
      </c>
      <c r="P73">
        <v>3</v>
      </c>
      <c r="Q73" t="s">
        <v>472</v>
      </c>
      <c r="R73">
        <f>IF(Table1[[#This Row],[Size (S, M, L)]]="S",2,IF(Table1[[#This Row],[Size (S, M, L)]]="L",1,4))</f>
        <v>4</v>
      </c>
      <c r="S73" s="101" t="s">
        <v>465</v>
      </c>
      <c r="T73">
        <f>IF(Table1[[#This Row],[TZone]]="EST",4,IF(Table1[[#This Row],[TZone]]="CST",3,IF(Table1[[#This Row],[TZone]]="MST",2,1)))</f>
        <v>3</v>
      </c>
      <c r="U73" t="s">
        <v>463</v>
      </c>
      <c r="V73">
        <f>IF(Table1[[#This Row],[Low-cost office?]]="Yes",-4,0)</f>
        <v>0</v>
      </c>
      <c r="X73" t="s">
        <v>479</v>
      </c>
    </row>
    <row r="74" spans="1:24" x14ac:dyDescent="0.55000000000000004">
      <c r="A74" t="s">
        <v>640</v>
      </c>
      <c r="B7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12.5</v>
      </c>
      <c r="C74" s="101" t="s">
        <v>464</v>
      </c>
      <c r="D74" s="107" t="s">
        <v>470</v>
      </c>
      <c r="E74" s="98" t="s">
        <v>460</v>
      </c>
      <c r="F74" s="107" t="s">
        <v>470</v>
      </c>
      <c r="G74" s="107" t="s">
        <v>470</v>
      </c>
      <c r="H74" s="107" t="s">
        <v>470</v>
      </c>
      <c r="I74" s="107" t="s">
        <v>470</v>
      </c>
      <c r="J74" s="107">
        <f>IF(Table1[[#This Row],[CIV]]="⮽",0,1)*1.5</f>
        <v>1.5</v>
      </c>
      <c r="K74" s="107">
        <f>IF(Table1[[#This Row],[ARC]]="⮽",0,1)*3</f>
        <v>0</v>
      </c>
      <c r="L74" s="107">
        <f>IF(Table1[[#This Row],[STR]]="⮽",0,1)*2</f>
        <v>2</v>
      </c>
      <c r="M74" s="107">
        <f>IF(Table1[[#This Row],[MP]]="⮽",0,1)</f>
        <v>0</v>
      </c>
      <c r="N74" s="107">
        <f>IF(Table1[[#This Row],[ELE]]="⮽",0,1)</f>
        <v>0</v>
      </c>
      <c r="O74" s="107">
        <f>IF(Table1[[#This Row],[FP]]="⮽",0,1)</f>
        <v>0</v>
      </c>
      <c r="P74" s="101">
        <v>3</v>
      </c>
      <c r="Q74" t="s">
        <v>472</v>
      </c>
      <c r="R74" s="101">
        <f>IF(Table1[[#This Row],[Size (S, M, L)]]="S",2,IF(Table1[[#This Row],[Size (S, M, L)]]="L",1,4))</f>
        <v>4</v>
      </c>
      <c r="S74" t="s">
        <v>465</v>
      </c>
      <c r="T74" s="101">
        <f>IF(Table1[[#This Row],[TZone]]="EST",4,IF(Table1[[#This Row],[TZone]]="CST",3,IF(Table1[[#This Row],[TZone]]="MST",2,1)))</f>
        <v>3</v>
      </c>
      <c r="U74" t="s">
        <v>463</v>
      </c>
      <c r="V74" s="101">
        <f>IF(Table1[[#This Row],[Low-cost office?]]="Yes",-4,0)</f>
        <v>0</v>
      </c>
      <c r="W74" s="106"/>
      <c r="X74" t="s">
        <v>479</v>
      </c>
    </row>
    <row r="75" spans="1:24" x14ac:dyDescent="0.55000000000000004">
      <c r="A75" t="s">
        <v>641</v>
      </c>
      <c r="B75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75" t="s">
        <v>459</v>
      </c>
      <c r="D75" s="98" t="s">
        <v>460</v>
      </c>
      <c r="E75" s="98" t="s">
        <v>460</v>
      </c>
      <c r="F75" s="98" t="s">
        <v>460</v>
      </c>
      <c r="G75" s="98" t="s">
        <v>460</v>
      </c>
      <c r="H75" s="98" t="s">
        <v>460</v>
      </c>
      <c r="I75" s="98" t="s">
        <v>460</v>
      </c>
      <c r="J75" s="95">
        <f>IF(Table1[[#This Row],[CIV]]="⮽",0,1)*1.5</f>
        <v>0</v>
      </c>
      <c r="K75" s="95">
        <f>IF(Table1[[#This Row],[ARC]]="⮽",0,1)*3</f>
        <v>3</v>
      </c>
      <c r="L75" s="95">
        <f>IF(Table1[[#This Row],[STR]]="⮽",0,1)*2</f>
        <v>0</v>
      </c>
      <c r="M75" s="95">
        <f>IF(Table1[[#This Row],[MP]]="⮽",0,1)</f>
        <v>0</v>
      </c>
      <c r="N75" s="95">
        <f>IF(Table1[[#This Row],[ELE]]="⮽",0,1)</f>
        <v>0</v>
      </c>
      <c r="O75" s="95">
        <f>IF(Table1[[#This Row],[FP]]="⮽",0,1)</f>
        <v>0</v>
      </c>
      <c r="P75" s="101">
        <v>2</v>
      </c>
      <c r="Q75" t="s">
        <v>475</v>
      </c>
      <c r="R75">
        <f>IF(Table1[[#This Row],[Size (S, M, L)]]="S",2,IF(Table1[[#This Row],[Size (S, M, L)]]="L",1,4))</f>
        <v>4</v>
      </c>
      <c r="S75" s="101" t="s">
        <v>465</v>
      </c>
      <c r="T75">
        <f>IF(Table1[[#This Row],[TZone]]="EST",4,IF(Table1[[#This Row],[TZone]]="CST",3,IF(Table1[[#This Row],[TZone]]="MST",2,1)))</f>
        <v>1</v>
      </c>
      <c r="U75" t="s">
        <v>479</v>
      </c>
      <c r="V75">
        <f>IF(Table1[[#This Row],[Low-cost office?]]="Yes",-4,0)</f>
        <v>0</v>
      </c>
      <c r="X75" t="s">
        <v>479</v>
      </c>
    </row>
    <row r="76" spans="1:24" x14ac:dyDescent="0.55000000000000004">
      <c r="A76" s="104" t="s">
        <v>424</v>
      </c>
      <c r="B76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76" t="s">
        <v>469</v>
      </c>
      <c r="D76" s="98" t="s">
        <v>460</v>
      </c>
      <c r="E76" s="99" t="s">
        <v>470</v>
      </c>
      <c r="F76" s="99" t="s">
        <v>470</v>
      </c>
      <c r="G76" s="99" t="s">
        <v>470</v>
      </c>
      <c r="H76" s="99" t="s">
        <v>470</v>
      </c>
      <c r="I76" s="99" t="s">
        <v>470</v>
      </c>
      <c r="J76" s="95">
        <f>IF(Table1[[#This Row],[CIV]]="⮽",0,1)*1.5</f>
        <v>0</v>
      </c>
      <c r="K76" s="95">
        <f>IF(Table1[[#This Row],[ARC]]="⮽",0,1)*3</f>
        <v>3</v>
      </c>
      <c r="L76" s="95">
        <f>IF(Table1[[#This Row],[STR]]="⮽",0,1)*2</f>
        <v>2</v>
      </c>
      <c r="M76" s="95">
        <f>IF(Table1[[#This Row],[MP]]="⮽",0,1)</f>
        <v>1</v>
      </c>
      <c r="N76" s="95">
        <f>IF(Table1[[#This Row],[ELE]]="⮽",0,1)</f>
        <v>1</v>
      </c>
      <c r="O76" s="95">
        <f>IF(Table1[[#This Row],[FP]]="⮽",0,1)</f>
        <v>0</v>
      </c>
      <c r="P76" s="101">
        <v>2</v>
      </c>
      <c r="Q76" t="s">
        <v>461</v>
      </c>
      <c r="R76">
        <f>IF(Table1[[#This Row],[Size (S, M, L)]]="S",2,IF(Table1[[#This Row],[Size (S, M, L)]]="L",1,4))</f>
        <v>4</v>
      </c>
      <c r="S76" t="s">
        <v>462</v>
      </c>
      <c r="T76">
        <f>IF(Table1[[#This Row],[TZone]]="EST",4,IF(Table1[[#This Row],[TZone]]="CST",3,IF(Table1[[#This Row],[TZone]]="MST",2,1)))</f>
        <v>3</v>
      </c>
      <c r="U76" t="s">
        <v>463</v>
      </c>
      <c r="V76">
        <f>IF(Table1[[#This Row],[Low-cost office?]]="Yes",-4,0)</f>
        <v>-4</v>
      </c>
      <c r="X76" t="s">
        <v>479</v>
      </c>
    </row>
    <row r="77" spans="1:24" x14ac:dyDescent="0.55000000000000004">
      <c r="A77" t="s">
        <v>508</v>
      </c>
      <c r="B7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77" s="101" t="s">
        <v>469</v>
      </c>
      <c r="D77" s="98" t="s">
        <v>460</v>
      </c>
      <c r="E77" s="98" t="s">
        <v>460</v>
      </c>
      <c r="F77" s="99" t="s">
        <v>470</v>
      </c>
      <c r="G77" s="99" t="s">
        <v>470</v>
      </c>
      <c r="H77" s="99" t="s">
        <v>470</v>
      </c>
      <c r="I77" s="99" t="s">
        <v>470</v>
      </c>
      <c r="J77" s="99">
        <f>IF(Table1[[#This Row],[CIV]]="⮽",0,1)*1.5</f>
        <v>0</v>
      </c>
      <c r="K77" s="99">
        <f>IF(Table1[[#This Row],[ARC]]="⮽",0,1)*3</f>
        <v>3</v>
      </c>
      <c r="L77" s="99">
        <f>IF(Table1[[#This Row],[STR]]="⮽",0,1)*2</f>
        <v>0</v>
      </c>
      <c r="M77" s="99">
        <f>IF(Table1[[#This Row],[MP]]="⮽",0,1)</f>
        <v>0</v>
      </c>
      <c r="N77" s="99">
        <f>IF(Table1[[#This Row],[ELE]]="⮽",0,1)</f>
        <v>0</v>
      </c>
      <c r="O77" s="99">
        <f>IF(Table1[[#This Row],[FP]]="⮽",0,1)</f>
        <v>0</v>
      </c>
      <c r="P77" s="101">
        <v>2</v>
      </c>
      <c r="Q77" s="101" t="s">
        <v>472</v>
      </c>
      <c r="R77" s="101">
        <f>IF(Table1[[#This Row],[Size (S, M, L)]]="S",2,IF(Table1[[#This Row],[Size (S, M, L)]]="L",1,4))</f>
        <v>2</v>
      </c>
      <c r="S77" s="101" t="s">
        <v>465</v>
      </c>
      <c r="T77" s="101">
        <f>IF(Table1[[#This Row],[TZone]]="EST",4,IF(Table1[[#This Row],[TZone]]="CST",3,IF(Table1[[#This Row],[TZone]]="MST",2,1)))</f>
        <v>3</v>
      </c>
      <c r="U77" s="101" t="s">
        <v>463</v>
      </c>
      <c r="V77" s="101">
        <f>IF(Table1[[#This Row],[Low-cost office?]]="Yes",-4,0)</f>
        <v>0</v>
      </c>
      <c r="W77" s="106"/>
      <c r="X77" t="s">
        <v>479</v>
      </c>
    </row>
    <row r="78" spans="1:24" x14ac:dyDescent="0.55000000000000004">
      <c r="A78" t="s">
        <v>642</v>
      </c>
      <c r="B7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78" s="101" t="s">
        <v>469</v>
      </c>
      <c r="D78" s="99" t="s">
        <v>460</v>
      </c>
      <c r="E78" s="98" t="s">
        <v>470</v>
      </c>
      <c r="F78" s="98" t="s">
        <v>470</v>
      </c>
      <c r="G78" s="98" t="s">
        <v>470</v>
      </c>
      <c r="H78" s="98" t="s">
        <v>470</v>
      </c>
      <c r="I78" s="98" t="s">
        <v>470</v>
      </c>
      <c r="J78" s="98">
        <f>IF(Table1[[#This Row],[CIV]]="⮽",0,1)*1.5</f>
        <v>0</v>
      </c>
      <c r="K78" s="98">
        <f>IF(Table1[[#This Row],[ARC]]="⮽",0,1)*3</f>
        <v>3</v>
      </c>
      <c r="L78" s="98">
        <f>IF(Table1[[#This Row],[STR]]="⮽",0,1)*2</f>
        <v>0</v>
      </c>
      <c r="M78" s="98">
        <f>IF(Table1[[#This Row],[MP]]="⮽",0,1)</f>
        <v>0</v>
      </c>
      <c r="N78" s="98">
        <f>IF(Table1[[#This Row],[ELE]]="⮽",0,1)</f>
        <v>0</v>
      </c>
      <c r="O78" s="98">
        <f>IF(Table1[[#This Row],[FP]]="⮽",0,1)</f>
        <v>0</v>
      </c>
      <c r="P78" s="101">
        <v>3</v>
      </c>
      <c r="Q78" s="101" t="s">
        <v>472</v>
      </c>
      <c r="R78" s="101">
        <f>IF(Table1[[#This Row],[Size (S, M, L)]]="S",2,IF(Table1[[#This Row],[Size (S, M, L)]]="L",1,4))</f>
        <v>2</v>
      </c>
      <c r="S78" t="s">
        <v>462</v>
      </c>
      <c r="T78" s="101">
        <f>IF(Table1[[#This Row],[TZone]]="EST",4,IF(Table1[[#This Row],[TZone]]="CST",3,IF(Table1[[#This Row],[TZone]]="MST",2,1)))</f>
        <v>3</v>
      </c>
      <c r="U78" s="101" t="s">
        <v>463</v>
      </c>
      <c r="V78" s="101">
        <f>IF(Table1[[#This Row],[Low-cost office?]]="Yes",-4,0)</f>
        <v>0</v>
      </c>
      <c r="W78" s="106"/>
      <c r="X78" t="s">
        <v>479</v>
      </c>
    </row>
    <row r="79" spans="1:24" x14ac:dyDescent="0.55000000000000004">
      <c r="A79" t="s">
        <v>643</v>
      </c>
      <c r="B7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79" s="101" t="s">
        <v>469</v>
      </c>
      <c r="D79" s="98" t="s">
        <v>460</v>
      </c>
      <c r="E79" s="98" t="s">
        <v>460</v>
      </c>
      <c r="F79" s="99" t="s">
        <v>470</v>
      </c>
      <c r="G79" s="99" t="s">
        <v>470</v>
      </c>
      <c r="H79" s="99" t="s">
        <v>470</v>
      </c>
      <c r="I79" s="99" t="s">
        <v>470</v>
      </c>
      <c r="J79" s="99">
        <f>IF(Table1[[#This Row],[CIV]]="⮽",0,1)*1.5</f>
        <v>0</v>
      </c>
      <c r="K79" s="99">
        <f>IF(Table1[[#This Row],[ARC]]="⮽",0,1)*3</f>
        <v>3</v>
      </c>
      <c r="L79" s="99">
        <f>IF(Table1[[#This Row],[STR]]="⮽",0,1)*2</f>
        <v>0</v>
      </c>
      <c r="M79" s="99">
        <f>IF(Table1[[#This Row],[MP]]="⮽",0,1)</f>
        <v>0</v>
      </c>
      <c r="N79" s="99">
        <f>IF(Table1[[#This Row],[ELE]]="⮽",0,1)</f>
        <v>0</v>
      </c>
      <c r="O79" s="99">
        <f>IF(Table1[[#This Row],[FP]]="⮽",0,1)</f>
        <v>0</v>
      </c>
      <c r="P79" s="101">
        <v>3</v>
      </c>
      <c r="Q79" s="101" t="s">
        <v>472</v>
      </c>
      <c r="R79" s="101">
        <f>IF(Table1[[#This Row],[Size (S, M, L)]]="S",2,IF(Table1[[#This Row],[Size (S, M, L)]]="L",1,4))</f>
        <v>2</v>
      </c>
      <c r="S79" t="s">
        <v>485</v>
      </c>
      <c r="T79" s="101">
        <f>IF(Table1[[#This Row],[TZone]]="EST",4,IF(Table1[[#This Row],[TZone]]="CST",3,IF(Table1[[#This Row],[TZone]]="MST",2,1)))</f>
        <v>3</v>
      </c>
      <c r="U79" s="101" t="s">
        <v>463</v>
      </c>
      <c r="V79" s="101">
        <f>IF(Table1[[#This Row],[Low-cost office?]]="Yes",-4,0)</f>
        <v>0</v>
      </c>
      <c r="W79" s="106"/>
      <c r="X79" t="s">
        <v>479</v>
      </c>
    </row>
    <row r="80" spans="1:24" x14ac:dyDescent="0.55000000000000004">
      <c r="A80" t="s">
        <v>644</v>
      </c>
      <c r="B8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0" s="101" t="s">
        <v>469</v>
      </c>
      <c r="D80" s="107" t="s">
        <v>470</v>
      </c>
      <c r="E80" s="98" t="s">
        <v>460</v>
      </c>
      <c r="F80" s="107" t="s">
        <v>470</v>
      </c>
      <c r="G80" s="107" t="s">
        <v>470</v>
      </c>
      <c r="H80" s="107" t="s">
        <v>470</v>
      </c>
      <c r="I80" s="107" t="s">
        <v>470</v>
      </c>
      <c r="J80" s="98">
        <f>IF(Table1[[#This Row],[CIV]]="⮽",0,1)*1.5</f>
        <v>0</v>
      </c>
      <c r="K80" s="98">
        <f>IF(Table1[[#This Row],[ARC]]="⮽",0,1)*3</f>
        <v>3</v>
      </c>
      <c r="L80" s="98">
        <f>IF(Table1[[#This Row],[STR]]="⮽",0,1)*2</f>
        <v>0</v>
      </c>
      <c r="M80" s="98">
        <f>IF(Table1[[#This Row],[MP]]="⮽",0,1)</f>
        <v>0</v>
      </c>
      <c r="N80" s="98">
        <f>IF(Table1[[#This Row],[ELE]]="⮽",0,1)</f>
        <v>0</v>
      </c>
      <c r="O80" s="98">
        <f>IF(Table1[[#This Row],[FP]]="⮽",0,1)</f>
        <v>0</v>
      </c>
      <c r="P80" s="101">
        <v>2</v>
      </c>
      <c r="Q80" s="101" t="s">
        <v>472</v>
      </c>
      <c r="R80" s="101">
        <f>IF(Table1[[#This Row],[Size (S, M, L)]]="S",2,IF(Table1[[#This Row],[Size (S, M, L)]]="L",1,4))</f>
        <v>2</v>
      </c>
      <c r="S80" t="s">
        <v>462</v>
      </c>
      <c r="T80" s="101">
        <f>IF(Table1[[#This Row],[TZone]]="EST",4,IF(Table1[[#This Row],[TZone]]="CST",3,IF(Table1[[#This Row],[TZone]]="MST",2,1)))</f>
        <v>3</v>
      </c>
      <c r="U80" s="101" t="s">
        <v>463</v>
      </c>
      <c r="V80" s="101">
        <f>IF(Table1[[#This Row],[Low-cost office?]]="Yes",-4,0)</f>
        <v>0</v>
      </c>
      <c r="W80" s="106"/>
      <c r="X80" t="s">
        <v>463</v>
      </c>
    </row>
    <row r="81" spans="1:24" x14ac:dyDescent="0.55000000000000004">
      <c r="A81" t="s">
        <v>645</v>
      </c>
      <c r="B8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1" s="101" t="s">
        <v>469</v>
      </c>
      <c r="D81" s="98" t="s">
        <v>470</v>
      </c>
      <c r="E81" s="98" t="s">
        <v>460</v>
      </c>
      <c r="F81" s="98" t="s">
        <v>470</v>
      </c>
      <c r="G81" s="98" t="s">
        <v>470</v>
      </c>
      <c r="H81" s="98" t="s">
        <v>470</v>
      </c>
      <c r="I81" s="98" t="s">
        <v>470</v>
      </c>
      <c r="J81" s="99">
        <f>IF(Table1[[#This Row],[CIV]]="⮽",0,1)*1.5</f>
        <v>0</v>
      </c>
      <c r="K81" s="99">
        <f>IF(Table1[[#This Row],[ARC]]="⮽",0,1)*3</f>
        <v>3</v>
      </c>
      <c r="L81" s="99">
        <f>IF(Table1[[#This Row],[STR]]="⮽",0,1)*2</f>
        <v>0</v>
      </c>
      <c r="M81" s="99">
        <f>IF(Table1[[#This Row],[MP]]="⮽",0,1)</f>
        <v>0</v>
      </c>
      <c r="N81" s="99">
        <f>IF(Table1[[#This Row],[ELE]]="⮽",0,1)</f>
        <v>0</v>
      </c>
      <c r="O81" s="99">
        <f>IF(Table1[[#This Row],[FP]]="⮽",0,1)</f>
        <v>0</v>
      </c>
      <c r="P81" s="101">
        <v>2</v>
      </c>
      <c r="Q81" s="101" t="s">
        <v>472</v>
      </c>
      <c r="R81" s="101">
        <f>IF(Table1[[#This Row],[Size (S, M, L)]]="S",2,IF(Table1[[#This Row],[Size (S, M, L)]]="L",1,4))</f>
        <v>2</v>
      </c>
      <c r="S81" s="101" t="s">
        <v>462</v>
      </c>
      <c r="T81" s="101">
        <f>IF(Table1[[#This Row],[TZone]]="EST",4,IF(Table1[[#This Row],[TZone]]="CST",3,IF(Table1[[#This Row],[TZone]]="MST",2,1)))</f>
        <v>3</v>
      </c>
      <c r="U81" s="101" t="s">
        <v>463</v>
      </c>
      <c r="V81" s="101">
        <f>IF(Table1[[#This Row],[Low-cost office?]]="Yes",-4,0)</f>
        <v>0</v>
      </c>
      <c r="W81" s="106"/>
      <c r="X81" t="s">
        <v>479</v>
      </c>
    </row>
    <row r="82" spans="1:24" x14ac:dyDescent="0.55000000000000004">
      <c r="A82" t="s">
        <v>646</v>
      </c>
      <c r="B8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2" s="101" t="s">
        <v>469</v>
      </c>
      <c r="D82" s="98" t="s">
        <v>470</v>
      </c>
      <c r="E82" s="98" t="s">
        <v>460</v>
      </c>
      <c r="F82" s="98" t="s">
        <v>470</v>
      </c>
      <c r="G82" s="98" t="s">
        <v>470</v>
      </c>
      <c r="H82" s="98" t="s">
        <v>470</v>
      </c>
      <c r="I82" s="98" t="s">
        <v>470</v>
      </c>
      <c r="J82" s="98">
        <f>IF(Table1[[#This Row],[CIV]]="⮽",0,1)*1.5</f>
        <v>0</v>
      </c>
      <c r="K82" s="98">
        <f>IF(Table1[[#This Row],[ARC]]="⮽",0,1)*3</f>
        <v>3</v>
      </c>
      <c r="L82" s="98">
        <f>IF(Table1[[#This Row],[STR]]="⮽",0,1)*2</f>
        <v>0</v>
      </c>
      <c r="M82" s="98">
        <f>IF(Table1[[#This Row],[MP]]="⮽",0,1)</f>
        <v>0</v>
      </c>
      <c r="N82" s="98">
        <f>IF(Table1[[#This Row],[ELE]]="⮽",0,1)</f>
        <v>0</v>
      </c>
      <c r="O82" s="98">
        <f>IF(Table1[[#This Row],[FP]]="⮽",0,1)</f>
        <v>0</v>
      </c>
      <c r="P82" s="101">
        <v>2</v>
      </c>
      <c r="Q82" s="101" t="s">
        <v>472</v>
      </c>
      <c r="R82" s="101">
        <f>IF(Table1[[#This Row],[Size (S, M, L)]]="S",2,IF(Table1[[#This Row],[Size (S, M, L)]]="L",1,4))</f>
        <v>4</v>
      </c>
      <c r="S82" t="s">
        <v>462</v>
      </c>
      <c r="T82" s="101">
        <f>IF(Table1[[#This Row],[TZone]]="EST",4,IF(Table1[[#This Row],[TZone]]="CST",3,IF(Table1[[#This Row],[TZone]]="MST",2,1)))</f>
        <v>1</v>
      </c>
      <c r="U82" s="101" t="s">
        <v>463</v>
      </c>
      <c r="V82" s="101">
        <f>IF(Table1[[#This Row],[Low-cost office?]]="Yes",-4,0)</f>
        <v>0</v>
      </c>
      <c r="W82" s="106"/>
      <c r="X82" t="s">
        <v>479</v>
      </c>
    </row>
    <row r="83" spans="1:24" x14ac:dyDescent="0.55000000000000004">
      <c r="A83" t="s">
        <v>647</v>
      </c>
      <c r="B8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3" s="101" t="s">
        <v>469</v>
      </c>
      <c r="D83" s="98" t="s">
        <v>470</v>
      </c>
      <c r="E83" s="98" t="s">
        <v>470</v>
      </c>
      <c r="F83" s="98" t="s">
        <v>470</v>
      </c>
      <c r="G83" s="99" t="s">
        <v>460</v>
      </c>
      <c r="H83" s="99" t="s">
        <v>460</v>
      </c>
      <c r="I83" s="99" t="s">
        <v>460</v>
      </c>
      <c r="J83" s="99">
        <f>IF(Table1[[#This Row],[CIV]]="⮽",0,1)*1.5</f>
        <v>0</v>
      </c>
      <c r="K83" s="99">
        <f>IF(Table1[[#This Row],[ARC]]="⮽",0,1)*3</f>
        <v>3</v>
      </c>
      <c r="L83" s="99">
        <f>IF(Table1[[#This Row],[STR]]="⮽",0,1)*2</f>
        <v>0</v>
      </c>
      <c r="M83" s="99">
        <f>IF(Table1[[#This Row],[MP]]="⮽",0,1)</f>
        <v>0</v>
      </c>
      <c r="N83" s="99">
        <f>IF(Table1[[#This Row],[ELE]]="⮽",0,1)</f>
        <v>0</v>
      </c>
      <c r="O83" s="99">
        <f>IF(Table1[[#This Row],[FP]]="⮽",0,1)</f>
        <v>0</v>
      </c>
      <c r="P83" s="101">
        <v>2</v>
      </c>
      <c r="Q83" s="101" t="s">
        <v>472</v>
      </c>
      <c r="R83" s="101">
        <f>IF(Table1[[#This Row],[Size (S, M, L)]]="S",2,IF(Table1[[#This Row],[Size (S, M, L)]]="L",1,4))</f>
        <v>2</v>
      </c>
      <c r="S83" t="s">
        <v>462</v>
      </c>
      <c r="T83" s="101">
        <f>IF(Table1[[#This Row],[TZone]]="EST",4,IF(Table1[[#This Row],[TZone]]="CST",3,IF(Table1[[#This Row],[TZone]]="MST",2,1)))</f>
        <v>3</v>
      </c>
      <c r="U83" s="101" t="s">
        <v>463</v>
      </c>
      <c r="V83" s="101">
        <f>IF(Table1[[#This Row],[Low-cost office?]]="Yes",-4,0)</f>
        <v>0</v>
      </c>
      <c r="W83" s="106"/>
      <c r="X83" t="s">
        <v>479</v>
      </c>
    </row>
    <row r="84" spans="1:24" x14ac:dyDescent="0.55000000000000004">
      <c r="A84" t="s">
        <v>516</v>
      </c>
      <c r="B8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4" s="101" t="s">
        <v>469</v>
      </c>
      <c r="D84" s="99" t="s">
        <v>470</v>
      </c>
      <c r="E84" s="99" t="s">
        <v>460</v>
      </c>
      <c r="F84" s="99" t="s">
        <v>470</v>
      </c>
      <c r="G84" s="99" t="s">
        <v>470</v>
      </c>
      <c r="H84" s="99" t="s">
        <v>470</v>
      </c>
      <c r="I84" s="99" t="s">
        <v>470</v>
      </c>
      <c r="J84" s="99">
        <f>IF(Table1[[#This Row],[CIV]]="⮽",0,1)*1.5</f>
        <v>0</v>
      </c>
      <c r="K84" s="99">
        <f>IF(Table1[[#This Row],[ARC]]="⮽",0,1)*3</f>
        <v>3</v>
      </c>
      <c r="L84" s="99">
        <f>IF(Table1[[#This Row],[STR]]="⮽",0,1)*2</f>
        <v>0</v>
      </c>
      <c r="M84" s="99">
        <f>IF(Table1[[#This Row],[MP]]="⮽",0,1)</f>
        <v>0</v>
      </c>
      <c r="N84" s="99">
        <f>IF(Table1[[#This Row],[ELE]]="⮽",0,1)</f>
        <v>0</v>
      </c>
      <c r="O84" s="99">
        <f>IF(Table1[[#This Row],[FP]]="⮽",0,1)</f>
        <v>0</v>
      </c>
      <c r="P84" s="101">
        <v>2</v>
      </c>
      <c r="Q84" s="101" t="s">
        <v>472</v>
      </c>
      <c r="R84" s="101">
        <f>IF(Table1[[#This Row],[Size (S, M, L)]]="S",2,IF(Table1[[#This Row],[Size (S, M, L)]]="L",1,4))</f>
        <v>2</v>
      </c>
      <c r="S84" s="101" t="s">
        <v>462</v>
      </c>
      <c r="T84" s="101">
        <f>IF(Table1[[#This Row],[TZone]]="EST",4,IF(Table1[[#This Row],[TZone]]="CST",3,IF(Table1[[#This Row],[TZone]]="MST",2,1)))</f>
        <v>3</v>
      </c>
      <c r="U84" s="101" t="s">
        <v>463</v>
      </c>
      <c r="V84" s="101">
        <f>IF(Table1[[#This Row],[Low-cost office?]]="Yes",-4,0)</f>
        <v>0</v>
      </c>
      <c r="W84" s="106"/>
      <c r="X84" t="s">
        <v>479</v>
      </c>
    </row>
    <row r="85" spans="1:24" x14ac:dyDescent="0.55000000000000004">
      <c r="A85" t="s">
        <v>648</v>
      </c>
      <c r="B8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5" s="101" t="s">
        <v>469</v>
      </c>
      <c r="D85" s="98" t="s">
        <v>460</v>
      </c>
      <c r="E85" s="107" t="s">
        <v>470</v>
      </c>
      <c r="F85" s="98" t="s">
        <v>460</v>
      </c>
      <c r="G85" s="98" t="s">
        <v>460</v>
      </c>
      <c r="H85" s="98" t="s">
        <v>460</v>
      </c>
      <c r="I85" s="107" t="s">
        <v>470</v>
      </c>
      <c r="J85" s="99">
        <f>IF(Table1[[#This Row],[CIV]]="⮽",0,1)*1.5</f>
        <v>0</v>
      </c>
      <c r="K85" s="99">
        <f>IF(Table1[[#This Row],[ARC]]="⮽",0,1)*3</f>
        <v>3</v>
      </c>
      <c r="L85" s="99">
        <f>IF(Table1[[#This Row],[STR]]="⮽",0,1)*2</f>
        <v>0</v>
      </c>
      <c r="M85" s="99">
        <f>IF(Table1[[#This Row],[MP]]="⮽",0,1)</f>
        <v>0</v>
      </c>
      <c r="N85" s="99">
        <f>IF(Table1[[#This Row],[ELE]]="⮽",0,1)</f>
        <v>0</v>
      </c>
      <c r="O85" s="99">
        <f>IF(Table1[[#This Row],[FP]]="⮽",0,1)</f>
        <v>0</v>
      </c>
      <c r="P85" s="101">
        <v>2</v>
      </c>
      <c r="Q85" s="101" t="s">
        <v>461</v>
      </c>
      <c r="R85" s="101">
        <f>IF(Table1[[#This Row],[Size (S, M, L)]]="S",2,IF(Table1[[#This Row],[Size (S, M, L)]]="L",1,4))</f>
        <v>4</v>
      </c>
      <c r="S85" t="s">
        <v>465</v>
      </c>
      <c r="T85" s="101">
        <f>IF(Table1[[#This Row],[TZone]]="EST",4,IF(Table1[[#This Row],[TZone]]="CST",3,IF(Table1[[#This Row],[TZone]]="MST",2,1)))</f>
        <v>3</v>
      </c>
      <c r="U85" s="101" t="s">
        <v>479</v>
      </c>
      <c r="V85" s="101">
        <f>IF(Table1[[#This Row],[Low-cost office?]]="Yes",-4,0)</f>
        <v>0</v>
      </c>
      <c r="W85" s="106"/>
      <c r="X85" t="s">
        <v>463</v>
      </c>
    </row>
    <row r="86" spans="1:24" x14ac:dyDescent="0.55000000000000004">
      <c r="A86" s="104" t="s">
        <v>518</v>
      </c>
      <c r="B8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6" s="101" t="s">
        <v>469</v>
      </c>
      <c r="D86" s="98" t="s">
        <v>460</v>
      </c>
      <c r="E86" s="99" t="s">
        <v>470</v>
      </c>
      <c r="F86" s="99" t="s">
        <v>470</v>
      </c>
      <c r="G86" s="99" t="s">
        <v>470</v>
      </c>
      <c r="H86" s="99" t="s">
        <v>470</v>
      </c>
      <c r="I86" s="99" t="s">
        <v>470</v>
      </c>
      <c r="J86" s="99">
        <f>IF(Table1[[#This Row],[CIV]]="⮽",0,1)*1.5</f>
        <v>0</v>
      </c>
      <c r="K86" s="99">
        <f>IF(Table1[[#This Row],[ARC]]="⮽",0,1)*3</f>
        <v>3</v>
      </c>
      <c r="L86" s="99">
        <f>IF(Table1[[#This Row],[STR]]="⮽",0,1)*2</f>
        <v>0</v>
      </c>
      <c r="M86" s="99">
        <f>IF(Table1[[#This Row],[MP]]="⮽",0,1)</f>
        <v>0</v>
      </c>
      <c r="N86" s="99">
        <f>IF(Table1[[#This Row],[ELE]]="⮽",0,1)</f>
        <v>0</v>
      </c>
      <c r="O86" s="99">
        <f>IF(Table1[[#This Row],[FP]]="⮽",0,1)</f>
        <v>0</v>
      </c>
      <c r="P86" s="101">
        <v>3</v>
      </c>
      <c r="Q86" s="101" t="s">
        <v>475</v>
      </c>
      <c r="R86" s="101">
        <f>IF(Table1[[#This Row],[Size (S, M, L)]]="S",2,IF(Table1[[#This Row],[Size (S, M, L)]]="L",1,4))</f>
        <v>2</v>
      </c>
      <c r="S86" s="101" t="s">
        <v>462</v>
      </c>
      <c r="T86" s="101">
        <f>IF(Table1[[#This Row],[TZone]]="EST",4,IF(Table1[[#This Row],[TZone]]="CST",3,IF(Table1[[#This Row],[TZone]]="MST",2,1)))</f>
        <v>1</v>
      </c>
      <c r="U86" s="101" t="s">
        <v>463</v>
      </c>
      <c r="V86" s="101">
        <f>IF(Table1[[#This Row],[Low-cost office?]]="Yes",-4,0)</f>
        <v>0</v>
      </c>
      <c r="W86" s="106"/>
      <c r="X86" t="s">
        <v>479</v>
      </c>
    </row>
    <row r="87" spans="1:24" x14ac:dyDescent="0.55000000000000004">
      <c r="A87" t="s">
        <v>519</v>
      </c>
      <c r="B87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7" t="s">
        <v>469</v>
      </c>
      <c r="D87" s="94" t="s">
        <v>460</v>
      </c>
      <c r="E87" s="95" t="s">
        <v>470</v>
      </c>
      <c r="F87" s="95" t="s">
        <v>470</v>
      </c>
      <c r="G87" s="95" t="s">
        <v>470</v>
      </c>
      <c r="H87" s="95" t="s">
        <v>470</v>
      </c>
      <c r="I87" s="95" t="s">
        <v>470</v>
      </c>
      <c r="J87" s="95">
        <f>IF(Table1[[#This Row],[CIV]]="⮽",0,1)*1.5</f>
        <v>0</v>
      </c>
      <c r="K87" s="95">
        <f>IF(Table1[[#This Row],[ARC]]="⮽",0,1)*3</f>
        <v>3</v>
      </c>
      <c r="L87" s="95">
        <f>IF(Table1[[#This Row],[STR]]="⮽",0,1)*2</f>
        <v>0</v>
      </c>
      <c r="M87" s="95">
        <f>IF(Table1[[#This Row],[MP]]="⮽",0,1)</f>
        <v>0</v>
      </c>
      <c r="N87" s="95">
        <f>IF(Table1[[#This Row],[ELE]]="⮽",0,1)</f>
        <v>0</v>
      </c>
      <c r="O87" s="95">
        <f>IF(Table1[[#This Row],[FP]]="⮽",0,1)</f>
        <v>0</v>
      </c>
      <c r="P87">
        <v>2</v>
      </c>
      <c r="Q87" t="s">
        <v>461</v>
      </c>
      <c r="R87">
        <f>IF(Table1[[#This Row],[Size (S, M, L)]]="S",2,IF(Table1[[#This Row],[Size (S, M, L)]]="L",1,4))</f>
        <v>2</v>
      </c>
      <c r="S87" t="s">
        <v>465</v>
      </c>
      <c r="T87">
        <f>IF(Table1[[#This Row],[TZone]]="EST",4,IF(Table1[[#This Row],[TZone]]="CST",3,IF(Table1[[#This Row],[TZone]]="MST",2,1)))</f>
        <v>3</v>
      </c>
      <c r="U87" t="s">
        <v>463</v>
      </c>
      <c r="V87">
        <f>IF(Table1[[#This Row],[Low-cost office?]]="Yes",-4,0)</f>
        <v>0</v>
      </c>
      <c r="X87" t="s">
        <v>479</v>
      </c>
    </row>
    <row r="88" spans="1:24" x14ac:dyDescent="0.55000000000000004">
      <c r="A88" s="104" t="s">
        <v>521</v>
      </c>
      <c r="B8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8" s="101" t="s">
        <v>464</v>
      </c>
      <c r="D88" s="98" t="s">
        <v>460</v>
      </c>
      <c r="E88" s="107" t="s">
        <v>470</v>
      </c>
      <c r="F88" s="98" t="s">
        <v>460</v>
      </c>
      <c r="G88" s="107" t="s">
        <v>470</v>
      </c>
      <c r="H88" s="107" t="s">
        <v>470</v>
      </c>
      <c r="I88" s="107" t="s">
        <v>470</v>
      </c>
      <c r="J88" s="107">
        <f>IF(Table1[[#This Row],[CIV]]="⮽",0,1)*1.5</f>
        <v>0</v>
      </c>
      <c r="K88" s="107">
        <f>IF(Table1[[#This Row],[ARC]]="⮽",0,1)*3</f>
        <v>3</v>
      </c>
      <c r="L88" s="107">
        <f>IF(Table1[[#This Row],[STR]]="⮽",0,1)*2</f>
        <v>0</v>
      </c>
      <c r="M88" s="107">
        <f>IF(Table1[[#This Row],[MP]]="⮽",0,1)</f>
        <v>0</v>
      </c>
      <c r="N88" s="107">
        <f>IF(Table1[[#This Row],[ELE]]="⮽",0,1)</f>
        <v>0</v>
      </c>
      <c r="O88" s="107">
        <f>IF(Table1[[#This Row],[FP]]="⮽",0,1)</f>
        <v>0</v>
      </c>
      <c r="P88" s="101">
        <v>1</v>
      </c>
      <c r="Q88" s="101" t="s">
        <v>461</v>
      </c>
      <c r="R88" s="101">
        <f>IF(Table1[[#This Row],[Size (S, M, L)]]="S",2,IF(Table1[[#This Row],[Size (S, M, L)]]="L",1,4))</f>
        <v>4</v>
      </c>
      <c r="S88" s="101" t="s">
        <v>465</v>
      </c>
      <c r="T88" s="101">
        <f>IF(Table1[[#This Row],[TZone]]="EST",4,IF(Table1[[#This Row],[TZone]]="CST",3,IF(Table1[[#This Row],[TZone]]="MST",2,1)))</f>
        <v>3</v>
      </c>
      <c r="U88" s="101" t="s">
        <v>463</v>
      </c>
      <c r="V88" s="101">
        <f>IF(Table1[[#This Row],[Low-cost office?]]="Yes",-4,0)</f>
        <v>-4</v>
      </c>
      <c r="W88" s="106"/>
      <c r="X88" t="s">
        <v>479</v>
      </c>
    </row>
    <row r="89" spans="1:24" x14ac:dyDescent="0.55000000000000004">
      <c r="A89" t="s">
        <v>649</v>
      </c>
      <c r="B8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89" s="101" t="s">
        <v>469</v>
      </c>
      <c r="D89" s="107" t="s">
        <v>470</v>
      </c>
      <c r="E89" s="98" t="s">
        <v>460</v>
      </c>
      <c r="F89" s="107" t="s">
        <v>470</v>
      </c>
      <c r="G89" s="107" t="s">
        <v>470</v>
      </c>
      <c r="H89" s="107" t="s">
        <v>470</v>
      </c>
      <c r="I89" s="107" t="s">
        <v>470</v>
      </c>
      <c r="J89" s="99">
        <f>IF(Table1[[#This Row],[CIV]]="⮽",0,1)*1.5</f>
        <v>0</v>
      </c>
      <c r="K89" s="99">
        <f>IF(Table1[[#This Row],[ARC]]="⮽",0,1)*3</f>
        <v>0</v>
      </c>
      <c r="L89" s="99">
        <f>IF(Table1[[#This Row],[STR]]="⮽",0,1)*2</f>
        <v>0</v>
      </c>
      <c r="M89" s="99">
        <f>IF(Table1[[#This Row],[MP]]="⮽",0,1)</f>
        <v>1</v>
      </c>
      <c r="N89" s="99">
        <f>IF(Table1[[#This Row],[ELE]]="⮽",0,1)</f>
        <v>1</v>
      </c>
      <c r="O89" s="99">
        <f>IF(Table1[[#This Row],[FP]]="⮽",0,1)</f>
        <v>1</v>
      </c>
      <c r="P89" s="101">
        <v>2</v>
      </c>
      <c r="Q89" s="101" t="s">
        <v>472</v>
      </c>
      <c r="R89" s="101">
        <f>IF(Table1[[#This Row],[Size (S, M, L)]]="S",2,IF(Table1[[#This Row],[Size (S, M, L)]]="L",1,4))</f>
        <v>2</v>
      </c>
      <c r="S89" s="101" t="s">
        <v>465</v>
      </c>
      <c r="T89" s="101">
        <f>IF(Table1[[#This Row],[TZone]]="EST",4,IF(Table1[[#This Row],[TZone]]="CST",3,IF(Table1[[#This Row],[TZone]]="MST",2,1)))</f>
        <v>3</v>
      </c>
      <c r="U89" s="101" t="s">
        <v>463</v>
      </c>
      <c r="V89" s="101">
        <f>IF(Table1[[#This Row],[Low-cost office?]]="Yes",-4,0)</f>
        <v>0</v>
      </c>
      <c r="W89" s="106"/>
      <c r="X89" t="s">
        <v>463</v>
      </c>
    </row>
    <row r="90" spans="1:24" x14ac:dyDescent="0.55000000000000004">
      <c r="A90" t="s">
        <v>650</v>
      </c>
      <c r="B9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90" s="101" t="s">
        <v>469</v>
      </c>
      <c r="D90" s="99" t="s">
        <v>470</v>
      </c>
      <c r="E90" s="99" t="s">
        <v>470</v>
      </c>
      <c r="F90" s="99" t="s">
        <v>470</v>
      </c>
      <c r="G90" s="98" t="s">
        <v>460</v>
      </c>
      <c r="H90" s="98" t="s">
        <v>460</v>
      </c>
      <c r="I90" s="99" t="s">
        <v>470</v>
      </c>
      <c r="J90" s="99">
        <f>IF(Table1[[#This Row],[CIV]]="⮽",0,1)*1.5</f>
        <v>0</v>
      </c>
      <c r="K90" s="99">
        <f>IF(Table1[[#This Row],[ARC]]="⮽",0,1)*3</f>
        <v>3</v>
      </c>
      <c r="L90" s="99">
        <f>IF(Table1[[#This Row],[STR]]="⮽",0,1)*2</f>
        <v>0</v>
      </c>
      <c r="M90" s="99">
        <f>IF(Table1[[#This Row],[MP]]="⮽",0,1)</f>
        <v>0</v>
      </c>
      <c r="N90" s="99">
        <f>IF(Table1[[#This Row],[ELE]]="⮽",0,1)</f>
        <v>0</v>
      </c>
      <c r="O90" s="99">
        <f>IF(Table1[[#This Row],[FP]]="⮽",0,1)</f>
        <v>0</v>
      </c>
      <c r="P90" s="101">
        <v>2</v>
      </c>
      <c r="Q90" s="101" t="s">
        <v>472</v>
      </c>
      <c r="R90" s="101">
        <f>IF(Table1[[#This Row],[Size (S, M, L)]]="S",2,IF(Table1[[#This Row],[Size (S, M, L)]]="L",1,4))</f>
        <v>4</v>
      </c>
      <c r="S90" s="101" t="s">
        <v>462</v>
      </c>
      <c r="T90" s="101">
        <f>IF(Table1[[#This Row],[TZone]]="EST",4,IF(Table1[[#This Row],[TZone]]="CST",3,IF(Table1[[#This Row],[TZone]]="MST",2,1)))</f>
        <v>3</v>
      </c>
      <c r="U90" s="101" t="s">
        <v>463</v>
      </c>
      <c r="V90" s="101">
        <f>IF(Table1[[#This Row],[Low-cost office?]]="Yes",-4,0)</f>
        <v>0</v>
      </c>
      <c r="W90" s="106"/>
      <c r="X90" t="s">
        <v>463</v>
      </c>
    </row>
    <row r="91" spans="1:24" x14ac:dyDescent="0.55000000000000004">
      <c r="A91" t="s">
        <v>651</v>
      </c>
      <c r="B9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91" s="101" t="s">
        <v>469</v>
      </c>
      <c r="D91" s="98" t="s">
        <v>470</v>
      </c>
      <c r="E91" s="98" t="s">
        <v>460</v>
      </c>
      <c r="F91" s="98" t="s">
        <v>470</v>
      </c>
      <c r="G91" s="98" t="s">
        <v>470</v>
      </c>
      <c r="H91" s="98" t="s">
        <v>470</v>
      </c>
      <c r="I91" s="98" t="s">
        <v>470</v>
      </c>
      <c r="J91" s="99">
        <f>IF(Table1[[#This Row],[CIV]]="⮽",0,1)*1.5</f>
        <v>0</v>
      </c>
      <c r="K91" s="99">
        <f>IF(Table1[[#This Row],[ARC]]="⮽",0,1)*3</f>
        <v>0</v>
      </c>
      <c r="L91" s="99">
        <f>IF(Table1[[#This Row],[STR]]="⮽",0,1)*2</f>
        <v>2</v>
      </c>
      <c r="M91" s="99">
        <f>IF(Table1[[#This Row],[MP]]="⮽",0,1)</f>
        <v>0</v>
      </c>
      <c r="N91" s="99">
        <f>IF(Table1[[#This Row],[ELE]]="⮽",0,1)</f>
        <v>0</v>
      </c>
      <c r="O91" s="99">
        <f>IF(Table1[[#This Row],[FP]]="⮽",0,1)</f>
        <v>0</v>
      </c>
      <c r="P91" s="101">
        <v>2</v>
      </c>
      <c r="Q91" s="101" t="s">
        <v>461</v>
      </c>
      <c r="R91" s="101">
        <f>IF(Table1[[#This Row],[Size (S, M, L)]]="S",2,IF(Table1[[#This Row],[Size (S, M, L)]]="L",1,4))</f>
        <v>2</v>
      </c>
      <c r="S91" s="101" t="s">
        <v>485</v>
      </c>
      <c r="T91" s="101">
        <f>IF(Table1[[#This Row],[TZone]]="EST",4,IF(Table1[[#This Row],[TZone]]="CST",3,IF(Table1[[#This Row],[TZone]]="MST",2,1)))</f>
        <v>2</v>
      </c>
      <c r="U91" s="101" t="s">
        <v>463</v>
      </c>
      <c r="V91" s="101">
        <f>IF(Table1[[#This Row],[Low-cost office?]]="Yes",-4,0)</f>
        <v>0</v>
      </c>
      <c r="W91" s="106"/>
      <c r="X91" t="s">
        <v>479</v>
      </c>
    </row>
    <row r="92" spans="1:24" x14ac:dyDescent="0.55000000000000004">
      <c r="A92" t="s">
        <v>299</v>
      </c>
      <c r="B9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12</v>
      </c>
      <c r="C92" s="101" t="s">
        <v>464</v>
      </c>
      <c r="D92" s="99" t="s">
        <v>470</v>
      </c>
      <c r="E92" s="99" t="s">
        <v>460</v>
      </c>
      <c r="F92" s="99" t="s">
        <v>470</v>
      </c>
      <c r="G92" s="99" t="s">
        <v>470</v>
      </c>
      <c r="H92" s="99" t="s">
        <v>470</v>
      </c>
      <c r="I92" s="99" t="s">
        <v>470</v>
      </c>
      <c r="J92" s="99">
        <f>IF(Table1[[#This Row],[CIV]]="⮽",0,1)*1.5</f>
        <v>0</v>
      </c>
      <c r="K92" s="99">
        <f>IF(Table1[[#This Row],[ARC]]="⮽",0,1)*3</f>
        <v>3</v>
      </c>
      <c r="L92" s="99">
        <f>IF(Table1[[#This Row],[STR]]="⮽",0,1)*2</f>
        <v>2</v>
      </c>
      <c r="M92" s="99">
        <f>IF(Table1[[#This Row],[MP]]="⮽",0,1)</f>
        <v>1</v>
      </c>
      <c r="N92" s="99">
        <f>IF(Table1[[#This Row],[ELE]]="⮽",0,1)</f>
        <v>0</v>
      </c>
      <c r="O92" s="99">
        <f>IF(Table1[[#This Row],[FP]]="⮽",0,1)</f>
        <v>0</v>
      </c>
      <c r="P92" s="101">
        <v>2</v>
      </c>
      <c r="Q92" s="101" t="s">
        <v>472</v>
      </c>
      <c r="R92" s="101">
        <f>IF(Table1[[#This Row],[Size (S, M, L)]]="S",2,IF(Table1[[#This Row],[Size (S, M, L)]]="L",1,4))</f>
        <v>2</v>
      </c>
      <c r="S92" s="101" t="s">
        <v>465</v>
      </c>
      <c r="T92" s="101">
        <f>IF(Table1[[#This Row],[TZone]]="EST",4,IF(Table1[[#This Row],[TZone]]="CST",3,IF(Table1[[#This Row],[TZone]]="MST",2,1)))</f>
        <v>2</v>
      </c>
      <c r="U92" s="101" t="s">
        <v>463</v>
      </c>
      <c r="V92" s="101">
        <f>IF(Table1[[#This Row],[Low-cost office?]]="Yes",-4,0)</f>
        <v>-4</v>
      </c>
      <c r="W92" s="106"/>
      <c r="X92" t="s">
        <v>479</v>
      </c>
    </row>
    <row r="93" spans="1:24" x14ac:dyDescent="0.55000000000000004">
      <c r="A93" t="s">
        <v>523</v>
      </c>
      <c r="B9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3" s="101" t="s">
        <v>469</v>
      </c>
      <c r="D93" s="98" t="s">
        <v>470</v>
      </c>
      <c r="E93" s="99" t="s">
        <v>460</v>
      </c>
      <c r="F93" s="98" t="s">
        <v>470</v>
      </c>
      <c r="G93" s="98" t="s">
        <v>470</v>
      </c>
      <c r="H93" s="98" t="s">
        <v>470</v>
      </c>
      <c r="I93" s="98" t="s">
        <v>470</v>
      </c>
      <c r="J93" s="98">
        <f>IF(Table1[[#This Row],[CIV]]="⮽",0,1)*1.5</f>
        <v>1.5</v>
      </c>
      <c r="K93" s="98">
        <f>IF(Table1[[#This Row],[ARC]]="⮽",0,1)*3</f>
        <v>0</v>
      </c>
      <c r="L93" s="98">
        <f>IF(Table1[[#This Row],[STR]]="⮽",0,1)*2</f>
        <v>0</v>
      </c>
      <c r="M93" s="98">
        <f>IF(Table1[[#This Row],[MP]]="⮽",0,1)</f>
        <v>1</v>
      </c>
      <c r="N93" s="98">
        <f>IF(Table1[[#This Row],[ELE]]="⮽",0,1)</f>
        <v>1</v>
      </c>
      <c r="O93" s="98">
        <f>IF(Table1[[#This Row],[FP]]="⮽",0,1)</f>
        <v>0</v>
      </c>
      <c r="P93" s="101">
        <v>2</v>
      </c>
      <c r="Q93" s="101" t="s">
        <v>472</v>
      </c>
      <c r="R93" s="101">
        <f>IF(Table1[[#This Row],[Size (S, M, L)]]="S",2,IF(Table1[[#This Row],[Size (S, M, L)]]="L",1,4))</f>
        <v>1</v>
      </c>
      <c r="S93" s="101" t="s">
        <v>465</v>
      </c>
      <c r="T93" s="101">
        <f>IF(Table1[[#This Row],[TZone]]="EST",4,IF(Table1[[#This Row],[TZone]]="CST",3,IF(Table1[[#This Row],[TZone]]="MST",2,1)))</f>
        <v>3</v>
      </c>
      <c r="U93" s="101" t="s">
        <v>463</v>
      </c>
      <c r="V93" s="101">
        <f>IF(Table1[[#This Row],[Low-cost office?]]="Yes",-4,0)</f>
        <v>0</v>
      </c>
      <c r="W93" s="106"/>
      <c r="X93" t="s">
        <v>479</v>
      </c>
    </row>
    <row r="94" spans="1:24" x14ac:dyDescent="0.55000000000000004">
      <c r="A94" t="s">
        <v>652</v>
      </c>
      <c r="B9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4" s="101" t="s">
        <v>469</v>
      </c>
      <c r="D94" s="99" t="s">
        <v>470</v>
      </c>
      <c r="E94" s="98" t="s">
        <v>460</v>
      </c>
      <c r="F94" s="99" t="s">
        <v>470</v>
      </c>
      <c r="G94" s="99" t="s">
        <v>470</v>
      </c>
      <c r="H94" s="99" t="s">
        <v>470</v>
      </c>
      <c r="I94" s="99" t="s">
        <v>470</v>
      </c>
      <c r="J94" s="99">
        <f>IF(Table1[[#This Row],[CIV]]="⮽",0,1)*1.5</f>
        <v>1.5</v>
      </c>
      <c r="K94" s="99">
        <f>IF(Table1[[#This Row],[ARC]]="⮽",0,1)*3</f>
        <v>3</v>
      </c>
      <c r="L94" s="99">
        <f>IF(Table1[[#This Row],[STR]]="⮽",0,1)*2</f>
        <v>0</v>
      </c>
      <c r="M94" s="99">
        <f>IF(Table1[[#This Row],[MP]]="⮽",0,1)</f>
        <v>0</v>
      </c>
      <c r="N94" s="99">
        <f>IF(Table1[[#This Row],[ELE]]="⮽",0,1)</f>
        <v>0</v>
      </c>
      <c r="O94" s="99">
        <f>IF(Table1[[#This Row],[FP]]="⮽",0,1)</f>
        <v>0</v>
      </c>
      <c r="P94" s="101">
        <v>2</v>
      </c>
      <c r="Q94" s="101" t="s">
        <v>472</v>
      </c>
      <c r="R94" s="101">
        <f>IF(Table1[[#This Row],[Size (S, M, L)]]="S",2,IF(Table1[[#This Row],[Size (S, M, L)]]="L",1,4))</f>
        <v>2</v>
      </c>
      <c r="S94" s="101" t="s">
        <v>465</v>
      </c>
      <c r="T94" s="101">
        <f>IF(Table1[[#This Row],[TZone]]="EST",4,IF(Table1[[#This Row],[TZone]]="CST",3,IF(Table1[[#This Row],[TZone]]="MST",2,1)))</f>
        <v>3</v>
      </c>
      <c r="U94" s="101" t="s">
        <v>463</v>
      </c>
      <c r="V94" s="101">
        <f>IF(Table1[[#This Row],[Low-cost office?]]="Yes",-4,0)</f>
        <v>0</v>
      </c>
      <c r="W94" s="106"/>
      <c r="X94" t="s">
        <v>479</v>
      </c>
    </row>
    <row r="95" spans="1:24" x14ac:dyDescent="0.55000000000000004">
      <c r="A95" t="s">
        <v>323</v>
      </c>
      <c r="B9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5" s="101" t="s">
        <v>469</v>
      </c>
      <c r="D95" s="99" t="s">
        <v>470</v>
      </c>
      <c r="E95" s="98" t="s">
        <v>460</v>
      </c>
      <c r="F95" s="99" t="s">
        <v>470</v>
      </c>
      <c r="G95" s="99" t="s">
        <v>470</v>
      </c>
      <c r="H95" s="99" t="s">
        <v>470</v>
      </c>
      <c r="I95" s="99" t="s">
        <v>470</v>
      </c>
      <c r="J95" s="99">
        <f>IF(Table1[[#This Row],[CIV]]="⮽",0,1)*1.5</f>
        <v>1.5</v>
      </c>
      <c r="K95" s="99">
        <f>IF(Table1[[#This Row],[ARC]]="⮽",0,1)*3</f>
        <v>0</v>
      </c>
      <c r="L95" s="99">
        <f>IF(Table1[[#This Row],[STR]]="⮽",0,1)*2</f>
        <v>0</v>
      </c>
      <c r="M95" s="99">
        <f>IF(Table1[[#This Row],[MP]]="⮽",0,1)</f>
        <v>0</v>
      </c>
      <c r="N95" s="99">
        <f>IF(Table1[[#This Row],[ELE]]="⮽",0,1)</f>
        <v>0</v>
      </c>
      <c r="O95" s="99">
        <f>IF(Table1[[#This Row],[FP]]="⮽",0,1)</f>
        <v>0</v>
      </c>
      <c r="P95" s="101">
        <v>2</v>
      </c>
      <c r="Q95" s="101" t="s">
        <v>472</v>
      </c>
      <c r="R95" s="101">
        <f>IF(Table1[[#This Row],[Size (S, M, L)]]="S",2,IF(Table1[[#This Row],[Size (S, M, L)]]="L",1,4))</f>
        <v>2</v>
      </c>
      <c r="S95" s="101" t="s">
        <v>465</v>
      </c>
      <c r="T95" s="101">
        <f>IF(Table1[[#This Row],[TZone]]="EST",4,IF(Table1[[#This Row],[TZone]]="CST",3,IF(Table1[[#This Row],[TZone]]="MST",2,1)))</f>
        <v>4</v>
      </c>
      <c r="U95" s="101" t="s">
        <v>463</v>
      </c>
      <c r="V95" s="101">
        <f>IF(Table1[[#This Row],[Low-cost office?]]="Yes",-4,0)</f>
        <v>0</v>
      </c>
      <c r="W95" s="106"/>
      <c r="X95" t="s">
        <v>479</v>
      </c>
    </row>
    <row r="96" spans="1:24" x14ac:dyDescent="0.55000000000000004">
      <c r="A96" t="s">
        <v>83</v>
      </c>
      <c r="B9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6" s="101" t="s">
        <v>469</v>
      </c>
      <c r="D96" s="99" t="s">
        <v>470</v>
      </c>
      <c r="E96" s="98" t="s">
        <v>460</v>
      </c>
      <c r="F96" s="99" t="s">
        <v>470</v>
      </c>
      <c r="G96" s="99" t="s">
        <v>470</v>
      </c>
      <c r="H96" s="99" t="s">
        <v>470</v>
      </c>
      <c r="I96" s="99" t="s">
        <v>470</v>
      </c>
      <c r="J96" s="99">
        <f>IF(Table1[[#This Row],[CIV]]="⮽",0,1)*1.5</f>
        <v>1.5</v>
      </c>
      <c r="K96" s="99">
        <f>IF(Table1[[#This Row],[ARC]]="⮽",0,1)*3</f>
        <v>0</v>
      </c>
      <c r="L96" s="99">
        <f>IF(Table1[[#This Row],[STR]]="⮽",0,1)*2</f>
        <v>0</v>
      </c>
      <c r="M96" s="99">
        <f>IF(Table1[[#This Row],[MP]]="⮽",0,1)</f>
        <v>0</v>
      </c>
      <c r="N96" s="99">
        <f>IF(Table1[[#This Row],[ELE]]="⮽",0,1)</f>
        <v>1</v>
      </c>
      <c r="O96" s="99">
        <f>IF(Table1[[#This Row],[FP]]="⮽",0,1)</f>
        <v>0</v>
      </c>
      <c r="P96" s="101">
        <v>2</v>
      </c>
      <c r="Q96" s="101" t="s">
        <v>461</v>
      </c>
      <c r="R96" s="101">
        <f>IF(Table1[[#This Row],[Size (S, M, L)]]="S",2,IF(Table1[[#This Row],[Size (S, M, L)]]="L",1,4))</f>
        <v>2</v>
      </c>
      <c r="S96" s="101" t="s">
        <v>485</v>
      </c>
      <c r="T96" s="101">
        <f>IF(Table1[[#This Row],[TZone]]="EST",4,IF(Table1[[#This Row],[TZone]]="CST",3,IF(Table1[[#This Row],[TZone]]="MST",2,1)))</f>
        <v>3</v>
      </c>
      <c r="U96" s="101" t="s">
        <v>463</v>
      </c>
      <c r="V96" s="101">
        <f>IF(Table1[[#This Row],[Low-cost office?]]="Yes",-4,0)</f>
        <v>0</v>
      </c>
      <c r="W96" s="106"/>
      <c r="X96" t="s">
        <v>479</v>
      </c>
    </row>
    <row r="97" spans="1:24" x14ac:dyDescent="0.55000000000000004">
      <c r="A97" t="s">
        <v>527</v>
      </c>
      <c r="B9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7" s="101" t="s">
        <v>469</v>
      </c>
      <c r="D97" s="99" t="s">
        <v>470</v>
      </c>
      <c r="E97" s="98" t="s">
        <v>460</v>
      </c>
      <c r="F97" s="99" t="s">
        <v>470</v>
      </c>
      <c r="G97" s="99" t="s">
        <v>470</v>
      </c>
      <c r="H97" s="99" t="s">
        <v>470</v>
      </c>
      <c r="I97" s="99" t="s">
        <v>470</v>
      </c>
      <c r="J97" s="99">
        <f>IF(Table1[[#This Row],[CIV]]="⮽",0,1)*1.5</f>
        <v>1.5</v>
      </c>
      <c r="K97" s="99">
        <f>IF(Table1[[#This Row],[ARC]]="⮽",0,1)*3</f>
        <v>0</v>
      </c>
      <c r="L97" s="99">
        <f>IF(Table1[[#This Row],[STR]]="⮽",0,1)*2</f>
        <v>2</v>
      </c>
      <c r="M97" s="99">
        <f>IF(Table1[[#This Row],[MP]]="⮽",0,1)</f>
        <v>1</v>
      </c>
      <c r="N97" s="99">
        <f>IF(Table1[[#This Row],[ELE]]="⮽",0,1)</f>
        <v>1</v>
      </c>
      <c r="O97" s="99">
        <f>IF(Table1[[#This Row],[FP]]="⮽",0,1)</f>
        <v>0</v>
      </c>
      <c r="P97" s="101">
        <v>2</v>
      </c>
      <c r="Q97" s="101" t="s">
        <v>472</v>
      </c>
      <c r="R97" s="101">
        <f>IF(Table1[[#This Row],[Size (S, M, L)]]="S",2,IF(Table1[[#This Row],[Size (S, M, L)]]="L",1,4))</f>
        <v>1</v>
      </c>
      <c r="S97" s="101" t="s">
        <v>465</v>
      </c>
      <c r="T97" s="101">
        <f>IF(Table1[[#This Row],[TZone]]="EST",4,IF(Table1[[#This Row],[TZone]]="CST",3,IF(Table1[[#This Row],[TZone]]="MST",2,1)))</f>
        <v>3</v>
      </c>
      <c r="U97" s="101" t="s">
        <v>463</v>
      </c>
      <c r="V97" s="101">
        <f>IF(Table1[[#This Row],[Low-cost office?]]="Yes",-4,0)</f>
        <v>0</v>
      </c>
      <c r="W97" s="106"/>
      <c r="X97" t="s">
        <v>479</v>
      </c>
    </row>
    <row r="98" spans="1:24" x14ac:dyDescent="0.55000000000000004">
      <c r="A98" t="s">
        <v>653</v>
      </c>
      <c r="B9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8" s="101" t="s">
        <v>469</v>
      </c>
      <c r="D98" s="99" t="s">
        <v>470</v>
      </c>
      <c r="E98" s="98" t="s">
        <v>460</v>
      </c>
      <c r="F98" s="99" t="s">
        <v>470</v>
      </c>
      <c r="G98" s="99" t="s">
        <v>470</v>
      </c>
      <c r="H98" s="99" t="s">
        <v>470</v>
      </c>
      <c r="I98" s="99" t="s">
        <v>470</v>
      </c>
      <c r="J98" s="99">
        <f>IF(Table1[[#This Row],[CIV]]="⮽",0,1)*1.5</f>
        <v>1.5</v>
      </c>
      <c r="K98" s="99">
        <f>IF(Table1[[#This Row],[ARC]]="⮽",0,1)*3</f>
        <v>3</v>
      </c>
      <c r="L98" s="99">
        <f>IF(Table1[[#This Row],[STR]]="⮽",0,1)*2</f>
        <v>0</v>
      </c>
      <c r="M98" s="99">
        <f>IF(Table1[[#This Row],[MP]]="⮽",0,1)</f>
        <v>0</v>
      </c>
      <c r="N98" s="99">
        <f>IF(Table1[[#This Row],[ELE]]="⮽",0,1)</f>
        <v>0</v>
      </c>
      <c r="O98" s="99">
        <f>IF(Table1[[#This Row],[FP]]="⮽",0,1)</f>
        <v>0</v>
      </c>
      <c r="P98" s="101">
        <v>3</v>
      </c>
      <c r="Q98" s="101" t="s">
        <v>472</v>
      </c>
      <c r="R98" s="101">
        <f>IF(Table1[[#This Row],[Size (S, M, L)]]="S",2,IF(Table1[[#This Row],[Size (S, M, L)]]="L",1,4))</f>
        <v>4</v>
      </c>
      <c r="S98" s="101" t="s">
        <v>485</v>
      </c>
      <c r="T98" s="101">
        <f>IF(Table1[[#This Row],[TZone]]="EST",4,IF(Table1[[#This Row],[TZone]]="CST",3,IF(Table1[[#This Row],[TZone]]="MST",2,1)))</f>
        <v>3</v>
      </c>
      <c r="U98" s="101" t="s">
        <v>463</v>
      </c>
      <c r="V98" s="101">
        <f>IF(Table1[[#This Row],[Low-cost office?]]="Yes",-4,0)</f>
        <v>-4</v>
      </c>
      <c r="W98" s="106"/>
      <c r="X98" t="s">
        <v>479</v>
      </c>
    </row>
    <row r="99" spans="1:24" x14ac:dyDescent="0.55000000000000004">
      <c r="A99" t="s">
        <v>654</v>
      </c>
      <c r="B9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11.5</v>
      </c>
      <c r="C99" s="101" t="s">
        <v>464</v>
      </c>
      <c r="D99" s="107" t="s">
        <v>470</v>
      </c>
      <c r="E99" s="98" t="s">
        <v>460</v>
      </c>
      <c r="F99" s="107" t="s">
        <v>470</v>
      </c>
      <c r="G99" s="107" t="s">
        <v>470</v>
      </c>
      <c r="H99" s="107" t="s">
        <v>470</v>
      </c>
      <c r="I99" s="107" t="s">
        <v>470</v>
      </c>
      <c r="J99" s="107">
        <f>IF(Table1[[#This Row],[CIV]]="⮽",0,1)*1.5</f>
        <v>1.5</v>
      </c>
      <c r="K99" s="107">
        <f>IF(Table1[[#This Row],[ARC]]="⮽",0,1)*3</f>
        <v>0</v>
      </c>
      <c r="L99" s="107">
        <f>IF(Table1[[#This Row],[STR]]="⮽",0,1)*2</f>
        <v>0</v>
      </c>
      <c r="M99" s="107">
        <f>IF(Table1[[#This Row],[MP]]="⮽",0,1)</f>
        <v>0</v>
      </c>
      <c r="N99" s="107">
        <f>IF(Table1[[#This Row],[ELE]]="⮽",0,1)</f>
        <v>0</v>
      </c>
      <c r="O99" s="107">
        <f>IF(Table1[[#This Row],[FP]]="⮽",0,1)</f>
        <v>0</v>
      </c>
      <c r="P99" s="101">
        <v>3</v>
      </c>
      <c r="Q99" s="101" t="s">
        <v>461</v>
      </c>
      <c r="R99" s="101">
        <f>IF(Table1[[#This Row],[Size (S, M, L)]]="S",2,IF(Table1[[#This Row],[Size (S, M, L)]]="L",1,4))</f>
        <v>2</v>
      </c>
      <c r="S99" s="101" t="s">
        <v>465</v>
      </c>
      <c r="T99" s="101">
        <f>IF(Table1[[#This Row],[TZone]]="EST",4,IF(Table1[[#This Row],[TZone]]="CST",3,IF(Table1[[#This Row],[TZone]]="MST",2,1)))</f>
        <v>4</v>
      </c>
      <c r="U99" s="101" t="s">
        <v>479</v>
      </c>
      <c r="V99" s="101">
        <f>IF(Table1[[#This Row],[Low-cost office?]]="Yes",-4,0)</f>
        <v>0</v>
      </c>
      <c r="W99" s="106"/>
      <c r="X99" t="s">
        <v>479</v>
      </c>
    </row>
    <row r="100" spans="1:24" x14ac:dyDescent="0.55000000000000004">
      <c r="A100" t="s">
        <v>534</v>
      </c>
      <c r="B10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0" s="101" t="s">
        <v>469</v>
      </c>
      <c r="D100" s="107" t="s">
        <v>470</v>
      </c>
      <c r="E100" s="98" t="s">
        <v>460</v>
      </c>
      <c r="F100" s="98" t="s">
        <v>460</v>
      </c>
      <c r="G100" s="98" t="s">
        <v>460</v>
      </c>
      <c r="H100" s="107" t="s">
        <v>470</v>
      </c>
      <c r="I100" s="107" t="s">
        <v>470</v>
      </c>
      <c r="J100" s="107">
        <f>IF(Table1[[#This Row],[CIV]]="⮽",0,1)*1.5</f>
        <v>0</v>
      </c>
      <c r="K100" s="107">
        <f>IF(Table1[[#This Row],[ARC]]="⮽",0,1)*3</f>
        <v>3</v>
      </c>
      <c r="L100" s="107">
        <f>IF(Table1[[#This Row],[STR]]="⮽",0,1)*2</f>
        <v>0</v>
      </c>
      <c r="M100" s="107">
        <f>IF(Table1[[#This Row],[MP]]="⮽",0,1)</f>
        <v>0</v>
      </c>
      <c r="N100" s="107">
        <f>IF(Table1[[#This Row],[ELE]]="⮽",0,1)</f>
        <v>0</v>
      </c>
      <c r="O100" s="107">
        <f>IF(Table1[[#This Row],[FP]]="⮽",0,1)</f>
        <v>0</v>
      </c>
      <c r="P100" s="101">
        <v>3</v>
      </c>
      <c r="Q100" s="101" t="s">
        <v>472</v>
      </c>
      <c r="R100" s="101">
        <f>IF(Table1[[#This Row],[Size (S, M, L)]]="S",2,IF(Table1[[#This Row],[Size (S, M, L)]]="L",1,4))</f>
        <v>2</v>
      </c>
      <c r="S100" s="101" t="s">
        <v>473</v>
      </c>
      <c r="T100" s="101">
        <f>IF(Table1[[#This Row],[TZone]]="EST",4,IF(Table1[[#This Row],[TZone]]="CST",3,IF(Table1[[#This Row],[TZone]]="MST",2,1)))</f>
        <v>4</v>
      </c>
      <c r="U100" s="101" t="s">
        <v>479</v>
      </c>
      <c r="V100" s="101">
        <f>IF(Table1[[#This Row],[Low-cost office?]]="Yes",-4,0)</f>
        <v>-4</v>
      </c>
      <c r="W100" s="106"/>
      <c r="X100" t="s">
        <v>479</v>
      </c>
    </row>
    <row r="101" spans="1:24" x14ac:dyDescent="0.55000000000000004">
      <c r="A101" t="s">
        <v>655</v>
      </c>
      <c r="B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1" t="s">
        <v>469</v>
      </c>
      <c r="D101" s="94" t="s">
        <v>460</v>
      </c>
      <c r="E101" s="94" t="s">
        <v>470</v>
      </c>
      <c r="F101" s="94" t="s">
        <v>470</v>
      </c>
      <c r="G101" s="94" t="s">
        <v>460</v>
      </c>
      <c r="H101" s="94" t="s">
        <v>460</v>
      </c>
      <c r="I101" s="94" t="s">
        <v>470</v>
      </c>
      <c r="J101" s="95">
        <f>IF(Table1[[#This Row],[CIV]]="⮽",0,1)*1.5</f>
        <v>0</v>
      </c>
      <c r="K101" s="95">
        <f>IF(Table1[[#This Row],[ARC]]="⮽",0,1)*3</f>
        <v>3</v>
      </c>
      <c r="L101" s="95">
        <f>IF(Table1[[#This Row],[STR]]="⮽",0,1)*2</f>
        <v>0</v>
      </c>
      <c r="M101" s="95">
        <f>IF(Table1[[#This Row],[MP]]="⮽",0,1)</f>
        <v>0</v>
      </c>
      <c r="N101" s="95">
        <f>IF(Table1[[#This Row],[ELE]]="⮽",0,1)</f>
        <v>0</v>
      </c>
      <c r="O101" s="95">
        <f>IF(Table1[[#This Row],[FP]]="⮽",0,1)</f>
        <v>0</v>
      </c>
      <c r="P101">
        <v>2</v>
      </c>
      <c r="Q101" t="s">
        <v>475</v>
      </c>
      <c r="R101">
        <f>IF(Table1[[#This Row],[Size (S, M, L)]]="S",2,IF(Table1[[#This Row],[Size (S, M, L)]]="L",1,4))</f>
        <v>2</v>
      </c>
      <c r="S101" t="s">
        <v>465</v>
      </c>
      <c r="T101">
        <f>IF(Table1[[#This Row],[TZone]]="EST",4,IF(Table1[[#This Row],[TZone]]="CST",3,IF(Table1[[#This Row],[TZone]]="MST",2,1)))</f>
        <v>4</v>
      </c>
      <c r="U101" t="s">
        <v>463</v>
      </c>
      <c r="V101">
        <f>IF(Table1[[#This Row],[Low-cost office?]]="Yes",-4,0)</f>
        <v>0</v>
      </c>
      <c r="X101" t="s">
        <v>479</v>
      </c>
    </row>
    <row r="102" spans="1:24" x14ac:dyDescent="0.55000000000000004">
      <c r="A102" t="s">
        <v>656</v>
      </c>
      <c r="B102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2" t="s">
        <v>469</v>
      </c>
      <c r="D102" s="95" t="s">
        <v>460</v>
      </c>
      <c r="E102" s="95" t="s">
        <v>460</v>
      </c>
      <c r="F102" s="95" t="s">
        <v>470</v>
      </c>
      <c r="G102" s="95" t="s">
        <v>470</v>
      </c>
      <c r="H102" s="95" t="s">
        <v>470</v>
      </c>
      <c r="I102" s="95" t="s">
        <v>470</v>
      </c>
      <c r="J102" s="95">
        <f>IF(Table1[[#This Row],[CIV]]="⮽",0,1)*1.5</f>
        <v>0</v>
      </c>
      <c r="K102" s="95">
        <f>IF(Table1[[#This Row],[ARC]]="⮽",0,1)*3</f>
        <v>3</v>
      </c>
      <c r="L102" s="95">
        <f>IF(Table1[[#This Row],[STR]]="⮽",0,1)*2</f>
        <v>0</v>
      </c>
      <c r="M102" s="95">
        <f>IF(Table1[[#This Row],[MP]]="⮽",0,1)</f>
        <v>0</v>
      </c>
      <c r="N102" s="95">
        <f>IF(Table1[[#This Row],[ELE]]="⮽",0,1)</f>
        <v>0</v>
      </c>
      <c r="O102" s="95">
        <f>IF(Table1[[#This Row],[FP]]="⮽",0,1)</f>
        <v>0</v>
      </c>
      <c r="P102">
        <v>1</v>
      </c>
      <c r="Q102" t="s">
        <v>472</v>
      </c>
      <c r="R102">
        <f>IF(Table1[[#This Row],[Size (S, M, L)]]="S",2,IF(Table1[[#This Row],[Size (S, M, L)]]="L",1,4))</f>
        <v>2</v>
      </c>
      <c r="S102" t="s">
        <v>465</v>
      </c>
      <c r="T102">
        <f>IF(Table1[[#This Row],[TZone]]="EST",4,IF(Table1[[#This Row],[TZone]]="CST",3,IF(Table1[[#This Row],[TZone]]="MST",2,1)))</f>
        <v>4</v>
      </c>
      <c r="U102" t="s">
        <v>463</v>
      </c>
      <c r="V102">
        <f>IF(Table1[[#This Row],[Low-cost office?]]="Yes",-4,0)</f>
        <v>0</v>
      </c>
      <c r="X102" t="s">
        <v>479</v>
      </c>
    </row>
    <row r="103" spans="1:24" x14ac:dyDescent="0.55000000000000004">
      <c r="A103" t="s">
        <v>536</v>
      </c>
      <c r="B103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3" t="s">
        <v>469</v>
      </c>
      <c r="D103" s="95" t="s">
        <v>460</v>
      </c>
      <c r="E103" s="94" t="s">
        <v>470</v>
      </c>
      <c r="F103" s="94" t="s">
        <v>470</v>
      </c>
      <c r="G103" s="94" t="s">
        <v>470</v>
      </c>
      <c r="H103" s="94" t="s">
        <v>470</v>
      </c>
      <c r="I103" s="94" t="s">
        <v>470</v>
      </c>
      <c r="J103" s="94">
        <f>IF(Table1[[#This Row],[CIV]]="⮽",0,1)*1.5</f>
        <v>0</v>
      </c>
      <c r="K103" s="94">
        <f>IF(Table1[[#This Row],[ARC]]="⮽",0,1)*3</f>
        <v>3</v>
      </c>
      <c r="L103" s="94">
        <f>IF(Table1[[#This Row],[STR]]="⮽",0,1)*2</f>
        <v>0</v>
      </c>
      <c r="M103" s="94">
        <f>IF(Table1[[#This Row],[MP]]="⮽",0,1)</f>
        <v>0</v>
      </c>
      <c r="N103" s="94">
        <f>IF(Table1[[#This Row],[ELE]]="⮽",0,1)</f>
        <v>0</v>
      </c>
      <c r="O103" s="94">
        <f>IF(Table1[[#This Row],[FP]]="⮽",0,1)</f>
        <v>0</v>
      </c>
      <c r="P103">
        <v>2</v>
      </c>
      <c r="Q103" t="s">
        <v>472</v>
      </c>
      <c r="R103">
        <f>IF(Table1[[#This Row],[Size (S, M, L)]]="S",2,IF(Table1[[#This Row],[Size (S, M, L)]]="L",1,4))</f>
        <v>2</v>
      </c>
      <c r="S103" t="s">
        <v>462</v>
      </c>
      <c r="T103">
        <f>IF(Table1[[#This Row],[TZone]]="EST",4,IF(Table1[[#This Row],[TZone]]="CST",3,IF(Table1[[#This Row],[TZone]]="MST",2,1)))</f>
        <v>4</v>
      </c>
      <c r="U103" t="s">
        <v>463</v>
      </c>
      <c r="V103">
        <f>IF(Table1[[#This Row],[Low-cost office?]]="Yes",-4,0)</f>
        <v>0</v>
      </c>
      <c r="X103" t="s">
        <v>479</v>
      </c>
    </row>
    <row r="104" spans="1:24" x14ac:dyDescent="0.55000000000000004">
      <c r="A104" t="s">
        <v>657</v>
      </c>
      <c r="B10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4" s="101" t="s">
        <v>469</v>
      </c>
      <c r="D104" s="98" t="s">
        <v>460</v>
      </c>
      <c r="E104" s="99" t="s">
        <v>470</v>
      </c>
      <c r="F104" s="99" t="s">
        <v>470</v>
      </c>
      <c r="G104" s="99" t="s">
        <v>470</v>
      </c>
      <c r="H104" s="98" t="s">
        <v>460</v>
      </c>
      <c r="I104" s="99" t="s">
        <v>470</v>
      </c>
      <c r="J104" s="99">
        <f>IF(Table1[[#This Row],[CIV]]="⮽",0,1)*1.5</f>
        <v>0</v>
      </c>
      <c r="K104" s="99">
        <f>IF(Table1[[#This Row],[ARC]]="⮽",0,1)*3</f>
        <v>0</v>
      </c>
      <c r="L104" s="99">
        <f>IF(Table1[[#This Row],[STR]]="⮽",0,1)*2</f>
        <v>0</v>
      </c>
      <c r="M104" s="99">
        <f>IF(Table1[[#This Row],[MP]]="⮽",0,1)</f>
        <v>1</v>
      </c>
      <c r="N104" s="99">
        <f>IF(Table1[[#This Row],[ELE]]="⮽",0,1)</f>
        <v>1</v>
      </c>
      <c r="O104" s="99">
        <f>IF(Table1[[#This Row],[FP]]="⮽",0,1)</f>
        <v>0</v>
      </c>
      <c r="P104" s="101">
        <v>2</v>
      </c>
      <c r="Q104" s="101" t="s">
        <v>472</v>
      </c>
      <c r="R104" s="101">
        <f>IF(Table1[[#This Row],[Size (S, M, L)]]="S",2,IF(Table1[[#This Row],[Size (S, M, L)]]="L",1,4))</f>
        <v>2</v>
      </c>
      <c r="S104" s="101" t="s">
        <v>465</v>
      </c>
      <c r="T104" s="101">
        <f>IF(Table1[[#This Row],[TZone]]="EST",4,IF(Table1[[#This Row],[TZone]]="CST",3,IF(Table1[[#This Row],[TZone]]="MST",2,1)))</f>
        <v>3</v>
      </c>
      <c r="U104" s="101" t="s">
        <v>463</v>
      </c>
      <c r="V104" s="101">
        <f>IF(Table1[[#This Row],[Low-cost office?]]="Yes",-4,0)</f>
        <v>0</v>
      </c>
      <c r="W104" s="106"/>
      <c r="X104" t="s">
        <v>479</v>
      </c>
    </row>
    <row r="105" spans="1:24" x14ac:dyDescent="0.55000000000000004">
      <c r="A105" t="s">
        <v>539</v>
      </c>
      <c r="B10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5" s="101" t="s">
        <v>469</v>
      </c>
      <c r="D105" s="98" t="s">
        <v>460</v>
      </c>
      <c r="E105" s="98" t="s">
        <v>460</v>
      </c>
      <c r="F105" s="107" t="s">
        <v>470</v>
      </c>
      <c r="G105" s="107" t="s">
        <v>470</v>
      </c>
      <c r="H105" s="107" t="s">
        <v>470</v>
      </c>
      <c r="I105" s="107" t="s">
        <v>470</v>
      </c>
      <c r="J105" s="107">
        <f>IF(Table1[[#This Row],[CIV]]="⮽",0,1)*1.5</f>
        <v>0</v>
      </c>
      <c r="K105" s="107">
        <f>IF(Table1[[#This Row],[ARC]]="⮽",0,1)*3</f>
        <v>0</v>
      </c>
      <c r="L105" s="107">
        <f>IF(Table1[[#This Row],[STR]]="⮽",0,1)*2</f>
        <v>0</v>
      </c>
      <c r="M105" s="107">
        <f>IF(Table1[[#This Row],[MP]]="⮽",0,1)</f>
        <v>0</v>
      </c>
      <c r="N105" s="107">
        <f>IF(Table1[[#This Row],[ELE]]="⮽",0,1)</f>
        <v>0</v>
      </c>
      <c r="O105" s="107">
        <f>IF(Table1[[#This Row],[FP]]="⮽",0,1)</f>
        <v>0</v>
      </c>
      <c r="P105" s="101">
        <v>2</v>
      </c>
      <c r="Q105" s="101" t="s">
        <v>461</v>
      </c>
      <c r="R105" s="101">
        <f>IF(Table1[[#This Row],[Size (S, M, L)]]="S",2,IF(Table1[[#This Row],[Size (S, M, L)]]="L",1,4))</f>
        <v>2</v>
      </c>
      <c r="S105" s="101" t="s">
        <v>465</v>
      </c>
      <c r="T105" s="101">
        <f>IF(Table1[[#This Row],[TZone]]="EST",4,IF(Table1[[#This Row],[TZone]]="CST",3,IF(Table1[[#This Row],[TZone]]="MST",2,1)))</f>
        <v>3</v>
      </c>
      <c r="U105" s="101" t="s">
        <v>479</v>
      </c>
      <c r="V105" s="101">
        <f>IF(Table1[[#This Row],[Low-cost office?]]="Yes",-4,0)</f>
        <v>0</v>
      </c>
      <c r="W105" s="106"/>
      <c r="X105" t="s">
        <v>479</v>
      </c>
    </row>
    <row r="106" spans="1:24" x14ac:dyDescent="0.55000000000000004">
      <c r="A106" t="s">
        <v>658</v>
      </c>
      <c r="B10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6" s="101" t="s">
        <v>469</v>
      </c>
      <c r="D106" s="107" t="s">
        <v>470</v>
      </c>
      <c r="E106" s="98" t="s">
        <v>460</v>
      </c>
      <c r="F106" s="107" t="s">
        <v>470</v>
      </c>
      <c r="G106" s="107" t="s">
        <v>470</v>
      </c>
      <c r="H106" s="107" t="s">
        <v>470</v>
      </c>
      <c r="I106" s="98" t="s">
        <v>460</v>
      </c>
      <c r="J106" s="99">
        <f>IF(Table1[[#This Row],[CIV]]="⮽",0,1)*1.5</f>
        <v>0</v>
      </c>
      <c r="K106" s="99">
        <f>IF(Table1[[#This Row],[ARC]]="⮽",0,1)*3</f>
        <v>3</v>
      </c>
      <c r="L106" s="99">
        <f>IF(Table1[[#This Row],[STR]]="⮽",0,1)*2</f>
        <v>0</v>
      </c>
      <c r="M106" s="99">
        <f>IF(Table1[[#This Row],[MP]]="⮽",0,1)</f>
        <v>0</v>
      </c>
      <c r="N106" s="99">
        <f>IF(Table1[[#This Row],[ELE]]="⮽",0,1)</f>
        <v>0</v>
      </c>
      <c r="O106" s="99">
        <f>IF(Table1[[#This Row],[FP]]="⮽",0,1)</f>
        <v>0</v>
      </c>
      <c r="P106" s="101">
        <v>2</v>
      </c>
      <c r="Q106" s="101" t="s">
        <v>472</v>
      </c>
      <c r="R106" s="101">
        <f>IF(Table1[[#This Row],[Size (S, M, L)]]="S",2,IF(Table1[[#This Row],[Size (S, M, L)]]="L",1,4))</f>
        <v>2</v>
      </c>
      <c r="S106" s="101" t="s">
        <v>485</v>
      </c>
      <c r="T106" s="101">
        <f>IF(Table1[[#This Row],[TZone]]="EST",4,IF(Table1[[#This Row],[TZone]]="CST",3,IF(Table1[[#This Row],[TZone]]="MST",2,1)))</f>
        <v>4</v>
      </c>
      <c r="U106" s="101" t="s">
        <v>463</v>
      </c>
      <c r="V106" s="101">
        <f>IF(Table1[[#This Row],[Low-cost office?]]="Yes",-4,0)</f>
        <v>0</v>
      </c>
      <c r="W106" s="106"/>
      <c r="X106" t="s">
        <v>463</v>
      </c>
    </row>
    <row r="107" spans="1:24" x14ac:dyDescent="0.55000000000000004">
      <c r="A107" t="s">
        <v>659</v>
      </c>
      <c r="B10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7" s="101" t="s">
        <v>469</v>
      </c>
      <c r="D107" s="107" t="s">
        <v>470</v>
      </c>
      <c r="E107" s="98" t="s">
        <v>460</v>
      </c>
      <c r="F107" s="107" t="s">
        <v>470</v>
      </c>
      <c r="G107" s="107" t="s">
        <v>470</v>
      </c>
      <c r="H107" s="107" t="s">
        <v>470</v>
      </c>
      <c r="I107" s="98" t="s">
        <v>460</v>
      </c>
      <c r="J107" s="98">
        <f>IF(Table1[[#This Row],[CIV]]="⮽",0,1)*1.5</f>
        <v>0</v>
      </c>
      <c r="K107" s="98">
        <f>IF(Table1[[#This Row],[ARC]]="⮽",0,1)*3</f>
        <v>3</v>
      </c>
      <c r="L107" s="98">
        <f>IF(Table1[[#This Row],[STR]]="⮽",0,1)*2</f>
        <v>0</v>
      </c>
      <c r="M107" s="98">
        <f>IF(Table1[[#This Row],[MP]]="⮽",0,1)</f>
        <v>0</v>
      </c>
      <c r="N107" s="98">
        <f>IF(Table1[[#This Row],[ELE]]="⮽",0,1)</f>
        <v>0</v>
      </c>
      <c r="O107" s="98">
        <f>IF(Table1[[#This Row],[FP]]="⮽",0,1)</f>
        <v>0</v>
      </c>
      <c r="P107" s="101">
        <v>2</v>
      </c>
      <c r="Q107" s="101" t="s">
        <v>472</v>
      </c>
      <c r="R107" s="101">
        <f>IF(Table1[[#This Row],[Size (S, M, L)]]="S",2,IF(Table1[[#This Row],[Size (S, M, L)]]="L",1,4))</f>
        <v>2</v>
      </c>
      <c r="S107" s="101" t="s">
        <v>485</v>
      </c>
      <c r="T107" s="101">
        <f>IF(Table1[[#This Row],[TZone]]="EST",4,IF(Table1[[#This Row],[TZone]]="CST",3,IF(Table1[[#This Row],[TZone]]="MST",2,1)))</f>
        <v>4</v>
      </c>
      <c r="U107" s="101" t="s">
        <v>463</v>
      </c>
      <c r="V107" s="101">
        <f>IF(Table1[[#This Row],[Low-cost office?]]="Yes",-4,0)</f>
        <v>0</v>
      </c>
      <c r="W107" s="106"/>
      <c r="X107" t="s">
        <v>463</v>
      </c>
    </row>
    <row r="108" spans="1:24" x14ac:dyDescent="0.55000000000000004">
      <c r="A108" t="s">
        <v>660</v>
      </c>
      <c r="B10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8" s="101" t="s">
        <v>469</v>
      </c>
      <c r="D108" s="107" t="s">
        <v>470</v>
      </c>
      <c r="E108" s="99" t="s">
        <v>460</v>
      </c>
      <c r="F108" s="107" t="s">
        <v>470</v>
      </c>
      <c r="G108" s="107" t="s">
        <v>470</v>
      </c>
      <c r="H108" s="107" t="s">
        <v>470</v>
      </c>
      <c r="I108" s="98" t="s">
        <v>460</v>
      </c>
      <c r="J108" s="99">
        <f>IF(Table1[[#This Row],[CIV]]="⮽",0,1)*1.5</f>
        <v>0</v>
      </c>
      <c r="K108" s="99">
        <f>IF(Table1[[#This Row],[ARC]]="⮽",0,1)*3</f>
        <v>3</v>
      </c>
      <c r="L108" s="99">
        <f>IF(Table1[[#This Row],[STR]]="⮽",0,1)*2</f>
        <v>0</v>
      </c>
      <c r="M108" s="99">
        <f>IF(Table1[[#This Row],[MP]]="⮽",0,1)</f>
        <v>0</v>
      </c>
      <c r="N108" s="99">
        <f>IF(Table1[[#This Row],[ELE]]="⮽",0,1)</f>
        <v>0</v>
      </c>
      <c r="O108" s="99">
        <f>IF(Table1[[#This Row],[FP]]="⮽",0,1)</f>
        <v>0</v>
      </c>
      <c r="P108" s="101">
        <v>2</v>
      </c>
      <c r="Q108" s="101" t="s">
        <v>472</v>
      </c>
      <c r="R108" s="101">
        <f>IF(Table1[[#This Row],[Size (S, M, L)]]="S",2,IF(Table1[[#This Row],[Size (S, M, L)]]="L",1,4))</f>
        <v>2</v>
      </c>
      <c r="S108" s="101" t="s">
        <v>485</v>
      </c>
      <c r="T108" s="101">
        <f>IF(Table1[[#This Row],[TZone]]="EST",4,IF(Table1[[#This Row],[TZone]]="CST",3,IF(Table1[[#This Row],[TZone]]="MST",2,1)))</f>
        <v>4</v>
      </c>
      <c r="U108" s="101" t="s">
        <v>463</v>
      </c>
      <c r="V108" s="101">
        <f>IF(Table1[[#This Row],[Low-cost office?]]="Yes",-4,0)</f>
        <v>0</v>
      </c>
      <c r="W108" s="106"/>
      <c r="X108" t="s">
        <v>463</v>
      </c>
    </row>
    <row r="109" spans="1:24" x14ac:dyDescent="0.55000000000000004">
      <c r="A109" t="s">
        <v>661</v>
      </c>
      <c r="B10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11</v>
      </c>
      <c r="C109" s="101" t="s">
        <v>469</v>
      </c>
      <c r="D109" s="107" t="s">
        <v>470</v>
      </c>
      <c r="E109" s="99" t="s">
        <v>460</v>
      </c>
      <c r="F109" s="107" t="s">
        <v>470</v>
      </c>
      <c r="G109" s="107" t="s">
        <v>470</v>
      </c>
      <c r="H109" s="107" t="s">
        <v>470</v>
      </c>
      <c r="I109" s="98" t="s">
        <v>460</v>
      </c>
      <c r="J109" s="99">
        <f>IF(Table1[[#This Row],[CIV]]="⮽",0,1)*1.5</f>
        <v>0</v>
      </c>
      <c r="K109" s="99">
        <f>IF(Table1[[#This Row],[ARC]]="⮽",0,1)*3</f>
        <v>3</v>
      </c>
      <c r="L109" s="99">
        <f>IF(Table1[[#This Row],[STR]]="⮽",0,1)*2</f>
        <v>0</v>
      </c>
      <c r="M109" s="99">
        <f>IF(Table1[[#This Row],[MP]]="⮽",0,1)</f>
        <v>0</v>
      </c>
      <c r="N109" s="99">
        <f>IF(Table1[[#This Row],[ELE]]="⮽",0,1)</f>
        <v>0</v>
      </c>
      <c r="O109" s="99">
        <f>IF(Table1[[#This Row],[FP]]="⮽",0,1)</f>
        <v>0</v>
      </c>
      <c r="P109" s="101">
        <v>2</v>
      </c>
      <c r="Q109" s="101" t="s">
        <v>472</v>
      </c>
      <c r="R109" s="101">
        <f>IF(Table1[[#This Row],[Size (S, M, L)]]="S",2,IF(Table1[[#This Row],[Size (S, M, L)]]="L",1,4))</f>
        <v>2</v>
      </c>
      <c r="S109" s="101" t="s">
        <v>485</v>
      </c>
      <c r="T109" s="101">
        <f>IF(Table1[[#This Row],[TZone]]="EST",4,IF(Table1[[#This Row],[TZone]]="CST",3,IF(Table1[[#This Row],[TZone]]="MST",2,1)))</f>
        <v>4</v>
      </c>
      <c r="U109" s="101" t="s">
        <v>463</v>
      </c>
      <c r="V109" s="101">
        <f>IF(Table1[[#This Row],[Low-cost office?]]="Yes",-4,0)</f>
        <v>0</v>
      </c>
      <c r="W109" s="106"/>
      <c r="X109" t="s">
        <v>463</v>
      </c>
    </row>
    <row r="110" spans="1:24" x14ac:dyDescent="0.55000000000000004">
      <c r="A110" t="s">
        <v>662</v>
      </c>
      <c r="B110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10.5</v>
      </c>
      <c r="C110" t="s">
        <v>469</v>
      </c>
      <c r="D110" s="95" t="s">
        <v>470</v>
      </c>
      <c r="E110" s="94" t="s">
        <v>460</v>
      </c>
      <c r="F110" s="95" t="s">
        <v>470</v>
      </c>
      <c r="G110" s="95" t="s">
        <v>470</v>
      </c>
      <c r="H110" s="95" t="s">
        <v>470</v>
      </c>
      <c r="I110" s="94" t="s">
        <v>460</v>
      </c>
      <c r="J110" s="95">
        <f>IF(Table1[[#This Row],[CIV]]="⮽",0,1)*1.5</f>
        <v>1.5</v>
      </c>
      <c r="K110" s="95">
        <f>IF(Table1[[#This Row],[ARC]]="⮽",0,1)*3</f>
        <v>0</v>
      </c>
      <c r="L110" s="95">
        <f>IF(Table1[[#This Row],[STR]]="⮽",0,1)*2</f>
        <v>0</v>
      </c>
      <c r="M110" s="95">
        <f>IF(Table1[[#This Row],[MP]]="⮽",0,1)</f>
        <v>0</v>
      </c>
      <c r="N110" s="95">
        <f>IF(Table1[[#This Row],[ELE]]="⮽",0,1)</f>
        <v>0</v>
      </c>
      <c r="O110" s="95">
        <f>IF(Table1[[#This Row],[FP]]="⮽",0,1)</f>
        <v>0</v>
      </c>
      <c r="P110">
        <v>2</v>
      </c>
      <c r="Q110" t="s">
        <v>472</v>
      </c>
      <c r="R110">
        <f>IF(Table1[[#This Row],[Size (S, M, L)]]="S",2,IF(Table1[[#This Row],[Size (S, M, L)]]="L",1,4))</f>
        <v>1</v>
      </c>
      <c r="S110" t="s">
        <v>485</v>
      </c>
      <c r="T110">
        <f>IF(Table1[[#This Row],[TZone]]="EST",4,IF(Table1[[#This Row],[TZone]]="CST",3,IF(Table1[[#This Row],[TZone]]="MST",2,1)))</f>
        <v>4</v>
      </c>
      <c r="U110" t="s">
        <v>463</v>
      </c>
      <c r="V110">
        <f>IF(Table1[[#This Row],[Low-cost office?]]="Yes",-4,0)</f>
        <v>0</v>
      </c>
      <c r="X110" t="s">
        <v>463</v>
      </c>
    </row>
    <row r="111" spans="1:24" x14ac:dyDescent="0.55000000000000004">
      <c r="A111" t="s">
        <v>663</v>
      </c>
      <c r="B11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10.5</v>
      </c>
      <c r="C111" s="101" t="s">
        <v>469</v>
      </c>
      <c r="D111" s="99" t="s">
        <v>470</v>
      </c>
      <c r="E111" s="98" t="s">
        <v>460</v>
      </c>
      <c r="F111" s="99" t="s">
        <v>470</v>
      </c>
      <c r="G111" s="99" t="s">
        <v>470</v>
      </c>
      <c r="H111" s="99" t="s">
        <v>470</v>
      </c>
      <c r="I111" s="98" t="s">
        <v>460</v>
      </c>
      <c r="J111" s="99">
        <f>IF(Table1[[#This Row],[CIV]]="⮽",0,1)*1.5</f>
        <v>1.5</v>
      </c>
      <c r="K111" s="99">
        <f>IF(Table1[[#This Row],[ARC]]="⮽",0,1)*3</f>
        <v>0</v>
      </c>
      <c r="L111" s="99">
        <f>IF(Table1[[#This Row],[STR]]="⮽",0,1)*2</f>
        <v>0</v>
      </c>
      <c r="M111" s="99">
        <f>IF(Table1[[#This Row],[MP]]="⮽",0,1)</f>
        <v>0</v>
      </c>
      <c r="N111" s="99">
        <f>IF(Table1[[#This Row],[ELE]]="⮽",0,1)</f>
        <v>0</v>
      </c>
      <c r="O111" s="99">
        <f>IF(Table1[[#This Row],[FP]]="⮽",0,1)</f>
        <v>0</v>
      </c>
      <c r="P111" s="101">
        <v>2</v>
      </c>
      <c r="Q111" s="101" t="s">
        <v>472</v>
      </c>
      <c r="R111" s="101">
        <f>IF(Table1[[#This Row],[Size (S, M, L)]]="S",2,IF(Table1[[#This Row],[Size (S, M, L)]]="L",1,4))</f>
        <v>4</v>
      </c>
      <c r="S111" s="101" t="s">
        <v>485</v>
      </c>
      <c r="T111" s="101">
        <f>IF(Table1[[#This Row],[TZone]]="EST",4,IF(Table1[[#This Row],[TZone]]="CST",3,IF(Table1[[#This Row],[TZone]]="MST",2,1)))</f>
        <v>1</v>
      </c>
      <c r="U111" s="101" t="s">
        <v>463</v>
      </c>
      <c r="V111" s="101">
        <f>IF(Table1[[#This Row],[Low-cost office?]]="Yes",-4,0)</f>
        <v>0</v>
      </c>
      <c r="W111" s="106"/>
      <c r="X111" t="s">
        <v>463</v>
      </c>
    </row>
    <row r="112" spans="1:24" x14ac:dyDescent="0.55000000000000004">
      <c r="A112" t="s">
        <v>664</v>
      </c>
      <c r="B112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10.5</v>
      </c>
      <c r="C112" t="s">
        <v>469</v>
      </c>
      <c r="D112" s="95" t="s">
        <v>470</v>
      </c>
      <c r="E112" s="94" t="s">
        <v>460</v>
      </c>
      <c r="F112" s="95" t="s">
        <v>470</v>
      </c>
      <c r="G112" s="95" t="s">
        <v>470</v>
      </c>
      <c r="H112" s="95" t="s">
        <v>470</v>
      </c>
      <c r="I112" s="94" t="s">
        <v>460</v>
      </c>
      <c r="J112" s="95">
        <f>IF(Table1[[#This Row],[CIV]]="⮽",0,1)*1.5</f>
        <v>1.5</v>
      </c>
      <c r="K112" s="95">
        <f>IF(Table1[[#This Row],[ARC]]="⮽",0,1)*3</f>
        <v>0</v>
      </c>
      <c r="L112" s="95">
        <f>IF(Table1[[#This Row],[STR]]="⮽",0,1)*2</f>
        <v>0</v>
      </c>
      <c r="M112" s="95">
        <f>IF(Table1[[#This Row],[MP]]="⮽",0,1)</f>
        <v>0</v>
      </c>
      <c r="N112" s="95">
        <f>IF(Table1[[#This Row],[ELE]]="⮽",0,1)</f>
        <v>0</v>
      </c>
      <c r="O112" s="95">
        <f>IF(Table1[[#This Row],[FP]]="⮽",0,1)</f>
        <v>0</v>
      </c>
      <c r="P112">
        <v>2</v>
      </c>
      <c r="Q112" t="s">
        <v>472</v>
      </c>
      <c r="R112">
        <f>IF(Table1[[#This Row],[Size (S, M, L)]]="S",2,IF(Table1[[#This Row],[Size (S, M, L)]]="L",1,4))</f>
        <v>4</v>
      </c>
      <c r="S112" t="s">
        <v>485</v>
      </c>
      <c r="T112">
        <f>IF(Table1[[#This Row],[TZone]]="EST",4,IF(Table1[[#This Row],[TZone]]="CST",3,IF(Table1[[#This Row],[TZone]]="MST",2,1)))</f>
        <v>3</v>
      </c>
      <c r="U112" t="s">
        <v>463</v>
      </c>
      <c r="V112">
        <f>IF(Table1[[#This Row],[Low-cost office?]]="Yes",-4,0)</f>
        <v>0</v>
      </c>
      <c r="X112" t="s">
        <v>463</v>
      </c>
    </row>
    <row r="113" spans="1:24" x14ac:dyDescent="0.55000000000000004">
      <c r="A113" t="s">
        <v>665</v>
      </c>
      <c r="B11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10.5</v>
      </c>
      <c r="C113" s="101" t="s">
        <v>469</v>
      </c>
      <c r="D113" s="99" t="s">
        <v>470</v>
      </c>
      <c r="E113" s="98" t="s">
        <v>460</v>
      </c>
      <c r="F113" s="99" t="s">
        <v>470</v>
      </c>
      <c r="G113" s="99" t="s">
        <v>470</v>
      </c>
      <c r="H113" s="99" t="s">
        <v>470</v>
      </c>
      <c r="I113" s="98" t="s">
        <v>460</v>
      </c>
      <c r="J113" s="98">
        <f>IF(Table1[[#This Row],[CIV]]="⮽",0,1)*1.5</f>
        <v>1.5</v>
      </c>
      <c r="K113" s="98">
        <f>IF(Table1[[#This Row],[ARC]]="⮽",0,1)*3</f>
        <v>3</v>
      </c>
      <c r="L113" s="98">
        <f>IF(Table1[[#This Row],[STR]]="⮽",0,1)*2</f>
        <v>2</v>
      </c>
      <c r="M113" s="98">
        <f>IF(Table1[[#This Row],[MP]]="⮽",0,1)</f>
        <v>1</v>
      </c>
      <c r="N113" s="98">
        <f>IF(Table1[[#This Row],[ELE]]="⮽",0,1)</f>
        <v>1</v>
      </c>
      <c r="O113" s="98">
        <f>IF(Table1[[#This Row],[FP]]="⮽",0,1)</f>
        <v>1</v>
      </c>
      <c r="P113" s="101">
        <v>2</v>
      </c>
      <c r="Q113" s="101" t="s">
        <v>472</v>
      </c>
      <c r="R113" s="101">
        <f>IF(Table1[[#This Row],[Size (S, M, L)]]="S",2,IF(Table1[[#This Row],[Size (S, M, L)]]="L",1,4))</f>
        <v>1</v>
      </c>
      <c r="S113" s="101" t="s">
        <v>485</v>
      </c>
      <c r="T113" s="101">
        <f>IF(Table1[[#This Row],[TZone]]="EST",4,IF(Table1[[#This Row],[TZone]]="CST",3,IF(Table1[[#This Row],[TZone]]="MST",2,1)))</f>
        <v>2</v>
      </c>
      <c r="U113" s="101" t="s">
        <v>463</v>
      </c>
      <c r="V113" s="101">
        <f>IF(Table1[[#This Row],[Low-cost office?]]="Yes",-4,0)</f>
        <v>-4</v>
      </c>
      <c r="W113" s="106"/>
      <c r="X113" t="s">
        <v>463</v>
      </c>
    </row>
    <row r="114" spans="1:24" x14ac:dyDescent="0.55000000000000004">
      <c r="A114" t="s">
        <v>303</v>
      </c>
      <c r="B114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4" t="s">
        <v>469</v>
      </c>
      <c r="D114" s="95" t="s">
        <v>470</v>
      </c>
      <c r="E114" s="94" t="s">
        <v>460</v>
      </c>
      <c r="F114" s="95" t="s">
        <v>470</v>
      </c>
      <c r="G114" s="95" t="s">
        <v>470</v>
      </c>
      <c r="H114" s="95" t="s">
        <v>470</v>
      </c>
      <c r="I114" s="95" t="s">
        <v>470</v>
      </c>
      <c r="J114" s="95">
        <f>IF(Table1[[#This Row],[CIV]]="⮽",0,1)*1.5</f>
        <v>0</v>
      </c>
      <c r="K114" s="95">
        <f>IF(Table1[[#This Row],[ARC]]="⮽",0,1)*3</f>
        <v>3</v>
      </c>
      <c r="L114" s="95">
        <f>IF(Table1[[#This Row],[STR]]="⮽",0,1)*2</f>
        <v>0</v>
      </c>
      <c r="M114" s="95">
        <f>IF(Table1[[#This Row],[MP]]="⮽",0,1)</f>
        <v>0</v>
      </c>
      <c r="N114" s="95">
        <f>IF(Table1[[#This Row],[ELE]]="⮽",0,1)</f>
        <v>0</v>
      </c>
      <c r="O114" s="95">
        <f>IF(Table1[[#This Row],[FP]]="⮽",0,1)</f>
        <v>0</v>
      </c>
      <c r="P114">
        <v>1</v>
      </c>
      <c r="Q114" t="s">
        <v>472</v>
      </c>
      <c r="R114">
        <f>IF(Table1[[#This Row],[Size (S, M, L)]]="S",2,IF(Table1[[#This Row],[Size (S, M, L)]]="L",1,4))</f>
        <v>2</v>
      </c>
      <c r="S114" t="s">
        <v>462</v>
      </c>
      <c r="T114">
        <f>IF(Table1[[#This Row],[TZone]]="EST",4,IF(Table1[[#This Row],[TZone]]="CST",3,IF(Table1[[#This Row],[TZone]]="MST",2,1)))</f>
        <v>1</v>
      </c>
      <c r="U114" t="s">
        <v>463</v>
      </c>
      <c r="V114">
        <f>IF(Table1[[#This Row],[Low-cost office?]]="Yes",-4,0)</f>
        <v>0</v>
      </c>
      <c r="X114" t="s">
        <v>479</v>
      </c>
    </row>
    <row r="115" spans="1:24" x14ac:dyDescent="0.55000000000000004">
      <c r="A115" t="s">
        <v>666</v>
      </c>
      <c r="B11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5" s="101" t="s">
        <v>469</v>
      </c>
      <c r="D115" s="99" t="s">
        <v>470</v>
      </c>
      <c r="E115" s="98" t="s">
        <v>460</v>
      </c>
      <c r="F115" s="99" t="s">
        <v>470</v>
      </c>
      <c r="G115" s="99" t="s">
        <v>470</v>
      </c>
      <c r="H115" s="99" t="s">
        <v>470</v>
      </c>
      <c r="I115" s="99" t="s">
        <v>470</v>
      </c>
      <c r="J115" s="99">
        <f>IF(Table1[[#This Row],[CIV]]="⮽",0,1)*1.5</f>
        <v>0</v>
      </c>
      <c r="K115" s="99">
        <f>IF(Table1[[#This Row],[ARC]]="⮽",0,1)*3</f>
        <v>3</v>
      </c>
      <c r="L115" s="99">
        <f>IF(Table1[[#This Row],[STR]]="⮽",0,1)*2</f>
        <v>0</v>
      </c>
      <c r="M115" s="99">
        <f>IF(Table1[[#This Row],[MP]]="⮽",0,1)</f>
        <v>0</v>
      </c>
      <c r="N115" s="99">
        <f>IF(Table1[[#This Row],[ELE]]="⮽",0,1)</f>
        <v>0</v>
      </c>
      <c r="O115" s="99">
        <f>IF(Table1[[#This Row],[FP]]="⮽",0,1)</f>
        <v>0</v>
      </c>
      <c r="P115" s="101">
        <v>1</v>
      </c>
      <c r="Q115" s="101" t="s">
        <v>472</v>
      </c>
      <c r="R115" s="101">
        <f>IF(Table1[[#This Row],[Size (S, M, L)]]="S",2,IF(Table1[[#This Row],[Size (S, M, L)]]="L",1,4))</f>
        <v>2</v>
      </c>
      <c r="S115" s="101" t="s">
        <v>462</v>
      </c>
      <c r="T115" s="101">
        <f>IF(Table1[[#This Row],[TZone]]="EST",4,IF(Table1[[#This Row],[TZone]]="CST",3,IF(Table1[[#This Row],[TZone]]="MST",2,1)))</f>
        <v>3</v>
      </c>
      <c r="U115" s="101" t="s">
        <v>463</v>
      </c>
      <c r="V115" s="101">
        <f>IF(Table1[[#This Row],[Low-cost office?]]="Yes",-4,0)</f>
        <v>0</v>
      </c>
      <c r="W115" s="106"/>
      <c r="X115" t="s">
        <v>479</v>
      </c>
    </row>
    <row r="116" spans="1:24" x14ac:dyDescent="0.55000000000000004">
      <c r="A116" t="s">
        <v>667</v>
      </c>
      <c r="B11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6" s="101" t="s">
        <v>469</v>
      </c>
      <c r="D116" s="98" t="s">
        <v>470</v>
      </c>
      <c r="E116" s="99" t="s">
        <v>470</v>
      </c>
      <c r="F116" s="99" t="s">
        <v>470</v>
      </c>
      <c r="G116" s="99" t="s">
        <v>460</v>
      </c>
      <c r="H116" s="99" t="s">
        <v>460</v>
      </c>
      <c r="I116" s="99" t="s">
        <v>470</v>
      </c>
      <c r="J116" s="99">
        <f>IF(Table1[[#This Row],[CIV]]="⮽",0,1)*1.5</f>
        <v>0</v>
      </c>
      <c r="K116" s="99">
        <f>IF(Table1[[#This Row],[ARC]]="⮽",0,1)*3</f>
        <v>3</v>
      </c>
      <c r="L116" s="99">
        <f>IF(Table1[[#This Row],[STR]]="⮽",0,1)*2</f>
        <v>0</v>
      </c>
      <c r="M116" s="99">
        <f>IF(Table1[[#This Row],[MP]]="⮽",0,1)</f>
        <v>0</v>
      </c>
      <c r="N116" s="99">
        <f>IF(Table1[[#This Row],[ELE]]="⮽",0,1)</f>
        <v>0</v>
      </c>
      <c r="O116" s="99">
        <f>IF(Table1[[#This Row],[FP]]="⮽",0,1)</f>
        <v>0</v>
      </c>
      <c r="P116" s="101">
        <v>2</v>
      </c>
      <c r="Q116" s="101" t="s">
        <v>472</v>
      </c>
      <c r="R116" s="101">
        <f>IF(Table1[[#This Row],[Size (S, M, L)]]="S",2,IF(Table1[[#This Row],[Size (S, M, L)]]="L",1,4))</f>
        <v>2</v>
      </c>
      <c r="S116" s="101" t="s">
        <v>465</v>
      </c>
      <c r="T116" s="101">
        <f>IF(Table1[[#This Row],[TZone]]="EST",4,IF(Table1[[#This Row],[TZone]]="CST",3,IF(Table1[[#This Row],[TZone]]="MST",2,1)))</f>
        <v>1</v>
      </c>
      <c r="U116" s="101" t="s">
        <v>463</v>
      </c>
      <c r="V116" s="101">
        <f>IF(Table1[[#This Row],[Low-cost office?]]="Yes",-4,0)</f>
        <v>0</v>
      </c>
      <c r="W116" s="106"/>
      <c r="X116" t="s">
        <v>479</v>
      </c>
    </row>
    <row r="117" spans="1:24" x14ac:dyDescent="0.55000000000000004">
      <c r="A117" t="s">
        <v>546</v>
      </c>
      <c r="B11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7" s="101" t="s">
        <v>469</v>
      </c>
      <c r="D117" s="99" t="s">
        <v>470</v>
      </c>
      <c r="E117" s="98" t="s">
        <v>460</v>
      </c>
      <c r="F117" s="99" t="s">
        <v>470</v>
      </c>
      <c r="G117" s="99" t="s">
        <v>470</v>
      </c>
      <c r="H117" s="99" t="s">
        <v>470</v>
      </c>
      <c r="I117" s="99" t="s">
        <v>470</v>
      </c>
      <c r="J117" s="99">
        <f>IF(Table1[[#This Row],[CIV]]="⮽",0,1)*1.5</f>
        <v>0</v>
      </c>
      <c r="K117" s="99">
        <f>IF(Table1[[#This Row],[ARC]]="⮽",0,1)*3</f>
        <v>3</v>
      </c>
      <c r="L117" s="99">
        <f>IF(Table1[[#This Row],[STR]]="⮽",0,1)*2</f>
        <v>0</v>
      </c>
      <c r="M117" s="99">
        <f>IF(Table1[[#This Row],[MP]]="⮽",0,1)</f>
        <v>0</v>
      </c>
      <c r="N117" s="99">
        <f>IF(Table1[[#This Row],[ELE]]="⮽",0,1)</f>
        <v>0</v>
      </c>
      <c r="O117" s="99">
        <f>IF(Table1[[#This Row],[FP]]="⮽",0,1)</f>
        <v>0</v>
      </c>
      <c r="P117" s="101">
        <v>1</v>
      </c>
      <c r="Q117" s="101" t="s">
        <v>472</v>
      </c>
      <c r="R117" s="101">
        <f>IF(Table1[[#This Row],[Size (S, M, L)]]="S",2,IF(Table1[[#This Row],[Size (S, M, L)]]="L",1,4))</f>
        <v>2</v>
      </c>
      <c r="S117" s="101" t="s">
        <v>462</v>
      </c>
      <c r="T117" s="101">
        <f>IF(Table1[[#This Row],[TZone]]="EST",4,IF(Table1[[#This Row],[TZone]]="CST",3,IF(Table1[[#This Row],[TZone]]="MST",2,1)))</f>
        <v>1</v>
      </c>
      <c r="U117" s="101" t="s">
        <v>463</v>
      </c>
      <c r="V117" s="101">
        <f>IF(Table1[[#This Row],[Low-cost office?]]="Yes",-4,0)</f>
        <v>0</v>
      </c>
      <c r="W117" s="106"/>
      <c r="X117" t="s">
        <v>479</v>
      </c>
    </row>
    <row r="118" spans="1:24" x14ac:dyDescent="0.55000000000000004">
      <c r="A118" t="s">
        <v>548</v>
      </c>
      <c r="B118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8" t="s">
        <v>469</v>
      </c>
      <c r="D118" s="105" t="s">
        <v>470</v>
      </c>
      <c r="E118" s="94" t="s">
        <v>460</v>
      </c>
      <c r="F118" s="105" t="s">
        <v>470</v>
      </c>
      <c r="G118" s="105" t="s">
        <v>470</v>
      </c>
      <c r="H118" s="105" t="s">
        <v>470</v>
      </c>
      <c r="I118" s="105" t="s">
        <v>470</v>
      </c>
      <c r="J118" s="105">
        <f>IF(Table1[[#This Row],[CIV]]="⮽",0,1)*1.5</f>
        <v>0</v>
      </c>
      <c r="K118" s="105">
        <f>IF(Table1[[#This Row],[ARC]]="⮽",0,1)*3</f>
        <v>3</v>
      </c>
      <c r="L118" s="105">
        <f>IF(Table1[[#This Row],[STR]]="⮽",0,1)*2</f>
        <v>0</v>
      </c>
      <c r="M118" s="105">
        <f>IF(Table1[[#This Row],[MP]]="⮽",0,1)</f>
        <v>0</v>
      </c>
      <c r="N118" s="105">
        <f>IF(Table1[[#This Row],[ELE]]="⮽",0,1)</f>
        <v>0</v>
      </c>
      <c r="O118" s="105">
        <f>IF(Table1[[#This Row],[FP]]="⮽",0,1)</f>
        <v>0</v>
      </c>
      <c r="P118">
        <v>1</v>
      </c>
      <c r="Q118" t="s">
        <v>472</v>
      </c>
      <c r="R118">
        <f>IF(Table1[[#This Row],[Size (S, M, L)]]="S",2,IF(Table1[[#This Row],[Size (S, M, L)]]="L",1,4))</f>
        <v>2</v>
      </c>
      <c r="S118" t="s">
        <v>462</v>
      </c>
      <c r="T118">
        <f>IF(Table1[[#This Row],[TZone]]="EST",4,IF(Table1[[#This Row],[TZone]]="CST",3,IF(Table1[[#This Row],[TZone]]="MST",2,1)))</f>
        <v>1</v>
      </c>
      <c r="U118" t="s">
        <v>463</v>
      </c>
      <c r="V118">
        <f>IF(Table1[[#This Row],[Low-cost office?]]="Yes",-4,0)</f>
        <v>0</v>
      </c>
      <c r="X118" t="s">
        <v>479</v>
      </c>
    </row>
    <row r="119" spans="1:24" x14ac:dyDescent="0.55000000000000004">
      <c r="A119" t="s">
        <v>668</v>
      </c>
      <c r="B11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19" s="101" t="s">
        <v>469</v>
      </c>
      <c r="D119" s="99" t="s">
        <v>460</v>
      </c>
      <c r="E119" s="98" t="s">
        <v>470</v>
      </c>
      <c r="F119" s="98" t="s">
        <v>470</v>
      </c>
      <c r="G119" s="98" t="s">
        <v>470</v>
      </c>
      <c r="H119" s="98" t="s">
        <v>470</v>
      </c>
      <c r="I119" s="98" t="s">
        <v>470</v>
      </c>
      <c r="J119" s="98">
        <f>IF(Table1[[#This Row],[CIV]]="⮽",0,1)*1.5</f>
        <v>0</v>
      </c>
      <c r="K119" s="98">
        <f>IF(Table1[[#This Row],[ARC]]="⮽",0,1)*3</f>
        <v>3</v>
      </c>
      <c r="L119" s="98">
        <f>IF(Table1[[#This Row],[STR]]="⮽",0,1)*2</f>
        <v>0</v>
      </c>
      <c r="M119" s="98">
        <f>IF(Table1[[#This Row],[MP]]="⮽",0,1)</f>
        <v>0</v>
      </c>
      <c r="N119" s="98">
        <f>IF(Table1[[#This Row],[ELE]]="⮽",0,1)</f>
        <v>0</v>
      </c>
      <c r="O119" s="98">
        <f>IF(Table1[[#This Row],[FP]]="⮽",0,1)</f>
        <v>0</v>
      </c>
      <c r="P119" s="101">
        <v>2</v>
      </c>
      <c r="Q119" s="101" t="s">
        <v>475</v>
      </c>
      <c r="R119" s="101">
        <f>IF(Table1[[#This Row],[Size (S, M, L)]]="S",2,IF(Table1[[#This Row],[Size (S, M, L)]]="L",1,4))</f>
        <v>2</v>
      </c>
      <c r="S119" s="101" t="s">
        <v>462</v>
      </c>
      <c r="T119" s="101">
        <f>IF(Table1[[#This Row],[TZone]]="EST",4,IF(Table1[[#This Row],[TZone]]="CST",3,IF(Table1[[#This Row],[TZone]]="MST",2,1)))</f>
        <v>1</v>
      </c>
      <c r="U119" s="101" t="s">
        <v>463</v>
      </c>
      <c r="V119" s="101">
        <f>IF(Table1[[#This Row],[Low-cost office?]]="Yes",-4,0)</f>
        <v>0</v>
      </c>
      <c r="W119" s="106"/>
      <c r="X119" t="s">
        <v>479</v>
      </c>
    </row>
    <row r="120" spans="1:24" x14ac:dyDescent="0.55000000000000004">
      <c r="A120" t="s">
        <v>551</v>
      </c>
      <c r="B120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0" t="s">
        <v>469</v>
      </c>
      <c r="D120" s="94" t="s">
        <v>460</v>
      </c>
      <c r="E120" s="95" t="s">
        <v>470</v>
      </c>
      <c r="F120" s="95" t="s">
        <v>470</v>
      </c>
      <c r="G120" s="95" t="s">
        <v>470</v>
      </c>
      <c r="H120" s="95" t="s">
        <v>470</v>
      </c>
      <c r="I120" s="95" t="s">
        <v>470</v>
      </c>
      <c r="J120" s="95">
        <f>IF(Table1[[#This Row],[CIV]]="⮽",0,1)*1.5</f>
        <v>0</v>
      </c>
      <c r="K120" s="95">
        <f>IF(Table1[[#This Row],[ARC]]="⮽",0,1)*3</f>
        <v>0</v>
      </c>
      <c r="L120" s="95">
        <f>IF(Table1[[#This Row],[STR]]="⮽",0,1)*2</f>
        <v>0</v>
      </c>
      <c r="M120" s="95">
        <f>IF(Table1[[#This Row],[MP]]="⮽",0,1)</f>
        <v>0</v>
      </c>
      <c r="N120" s="95">
        <f>IF(Table1[[#This Row],[ELE]]="⮽",0,1)</f>
        <v>0</v>
      </c>
      <c r="O120" s="95">
        <f>IF(Table1[[#This Row],[FP]]="⮽",0,1)</f>
        <v>0</v>
      </c>
      <c r="P120">
        <v>2</v>
      </c>
      <c r="Q120" t="s">
        <v>461</v>
      </c>
      <c r="R120">
        <f>IF(Table1[[#This Row],[Size (S, M, L)]]="S",2,IF(Table1[[#This Row],[Size (S, M, L)]]="L",1,4))</f>
        <v>2</v>
      </c>
      <c r="S120" t="s">
        <v>485</v>
      </c>
      <c r="T120">
        <f>IF(Table1[[#This Row],[TZone]]="EST",4,IF(Table1[[#This Row],[TZone]]="CST",3,IF(Table1[[#This Row],[TZone]]="MST",2,1)))</f>
        <v>4</v>
      </c>
      <c r="U120" t="s">
        <v>463</v>
      </c>
      <c r="V120">
        <f>IF(Table1[[#This Row],[Low-cost office?]]="Yes",-4,0)</f>
        <v>0</v>
      </c>
      <c r="X120" t="s">
        <v>479</v>
      </c>
    </row>
    <row r="121" spans="1:24" x14ac:dyDescent="0.55000000000000004">
      <c r="A121" t="s">
        <v>552</v>
      </c>
      <c r="B12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1" s="101" t="s">
        <v>469</v>
      </c>
      <c r="D121" s="98" t="s">
        <v>460</v>
      </c>
      <c r="E121" s="99" t="s">
        <v>470</v>
      </c>
      <c r="F121" s="99" t="s">
        <v>470</v>
      </c>
      <c r="G121" s="99" t="s">
        <v>470</v>
      </c>
      <c r="H121" s="99" t="s">
        <v>470</v>
      </c>
      <c r="I121" s="99" t="s">
        <v>470</v>
      </c>
      <c r="J121" s="99">
        <f>IF(Table1[[#This Row],[CIV]]="⮽",0,1)*1.5</f>
        <v>0</v>
      </c>
      <c r="K121" s="99">
        <f>IF(Table1[[#This Row],[ARC]]="⮽",0,1)*3</f>
        <v>3</v>
      </c>
      <c r="L121" s="99">
        <f>IF(Table1[[#This Row],[STR]]="⮽",0,1)*2</f>
        <v>0</v>
      </c>
      <c r="M121" s="99">
        <f>IF(Table1[[#This Row],[MP]]="⮽",0,1)</f>
        <v>0</v>
      </c>
      <c r="N121" s="99">
        <f>IF(Table1[[#This Row],[ELE]]="⮽",0,1)</f>
        <v>0</v>
      </c>
      <c r="O121" s="99">
        <f>IF(Table1[[#This Row],[FP]]="⮽",0,1)</f>
        <v>0</v>
      </c>
      <c r="P121" s="101">
        <v>1</v>
      </c>
      <c r="Q121" s="101" t="s">
        <v>461</v>
      </c>
      <c r="R121" s="101">
        <f>IF(Table1[[#This Row],[Size (S, M, L)]]="S",2,IF(Table1[[#This Row],[Size (S, M, L)]]="L",1,4))</f>
        <v>4</v>
      </c>
      <c r="S121" s="101" t="s">
        <v>465</v>
      </c>
      <c r="T121" s="101">
        <f>IF(Table1[[#This Row],[TZone]]="EST",4,IF(Table1[[#This Row],[TZone]]="CST",3,IF(Table1[[#This Row],[TZone]]="MST",2,1)))</f>
        <v>1</v>
      </c>
      <c r="U121" s="101" t="s">
        <v>463</v>
      </c>
      <c r="V121" s="101">
        <f>IF(Table1[[#This Row],[Low-cost office?]]="Yes",-4,0)</f>
        <v>-4</v>
      </c>
      <c r="W121" s="106"/>
      <c r="X121" t="s">
        <v>479</v>
      </c>
    </row>
    <row r="122" spans="1:24" x14ac:dyDescent="0.55000000000000004">
      <c r="A122" t="s">
        <v>553</v>
      </c>
      <c r="B12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2" s="101" t="s">
        <v>469</v>
      </c>
      <c r="D122" s="98" t="s">
        <v>460</v>
      </c>
      <c r="E122" s="98" t="s">
        <v>460</v>
      </c>
      <c r="F122" s="98" t="s">
        <v>460</v>
      </c>
      <c r="G122" s="98" t="s">
        <v>460</v>
      </c>
      <c r="H122" s="98" t="s">
        <v>460</v>
      </c>
      <c r="I122" s="98" t="s">
        <v>460</v>
      </c>
      <c r="J122" s="98">
        <f>IF(Table1[[#This Row],[CIV]]="⮽",0,1)*1.5</f>
        <v>0</v>
      </c>
      <c r="K122" s="98">
        <f>IF(Table1[[#This Row],[ARC]]="⮽",0,1)*3</f>
        <v>3</v>
      </c>
      <c r="L122" s="98">
        <f>IF(Table1[[#This Row],[STR]]="⮽",0,1)*2</f>
        <v>0</v>
      </c>
      <c r="M122" s="98">
        <f>IF(Table1[[#This Row],[MP]]="⮽",0,1)</f>
        <v>0</v>
      </c>
      <c r="N122" s="98">
        <f>IF(Table1[[#This Row],[ELE]]="⮽",0,1)</f>
        <v>0</v>
      </c>
      <c r="O122" s="98">
        <f>IF(Table1[[#This Row],[FP]]="⮽",0,1)</f>
        <v>0</v>
      </c>
      <c r="P122" s="101">
        <v>1</v>
      </c>
      <c r="Q122" s="101" t="s">
        <v>475</v>
      </c>
      <c r="R122" s="101">
        <f>IF(Table1[[#This Row],[Size (S, M, L)]]="S",2,IF(Table1[[#This Row],[Size (S, M, L)]]="L",1,4))</f>
        <v>2</v>
      </c>
      <c r="S122" s="101" t="s">
        <v>473</v>
      </c>
      <c r="T122" s="101">
        <f>IF(Table1[[#This Row],[TZone]]="EST",4,IF(Table1[[#This Row],[TZone]]="CST",3,IF(Table1[[#This Row],[TZone]]="MST",2,1)))</f>
        <v>1</v>
      </c>
      <c r="U122" s="101" t="s">
        <v>479</v>
      </c>
      <c r="V122" s="101">
        <f>IF(Table1[[#This Row],[Low-cost office?]]="Yes",-4,0)</f>
        <v>0</v>
      </c>
      <c r="W122" s="106"/>
      <c r="X122" t="s">
        <v>479</v>
      </c>
    </row>
    <row r="123" spans="1:24" x14ac:dyDescent="0.55000000000000004">
      <c r="A123" t="s">
        <v>669</v>
      </c>
      <c r="B12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3" s="101" t="s">
        <v>670</v>
      </c>
      <c r="D123" s="107" t="s">
        <v>470</v>
      </c>
      <c r="E123" s="98" t="s">
        <v>460</v>
      </c>
      <c r="F123" s="107" t="s">
        <v>470</v>
      </c>
      <c r="G123" s="107" t="s">
        <v>470</v>
      </c>
      <c r="H123" s="107" t="s">
        <v>470</v>
      </c>
      <c r="I123" s="107" t="s">
        <v>470</v>
      </c>
      <c r="J123" s="98">
        <f>IF(Table1[[#This Row],[CIV]]="⮽",0,1)*1.5</f>
        <v>0</v>
      </c>
      <c r="K123" s="98">
        <f>IF(Table1[[#This Row],[ARC]]="⮽",0,1)*3</f>
        <v>3</v>
      </c>
      <c r="L123" s="98">
        <f>IF(Table1[[#This Row],[STR]]="⮽",0,1)*2</f>
        <v>0</v>
      </c>
      <c r="M123" s="98">
        <f>IF(Table1[[#This Row],[MP]]="⮽",0,1)</f>
        <v>0</v>
      </c>
      <c r="N123" s="98">
        <f>IF(Table1[[#This Row],[ELE]]="⮽",0,1)</f>
        <v>0</v>
      </c>
      <c r="O123" s="98">
        <f>IF(Table1[[#This Row],[FP]]="⮽",0,1)</f>
        <v>0</v>
      </c>
      <c r="P123" s="101">
        <v>1</v>
      </c>
      <c r="Q123" s="101" t="s">
        <v>475</v>
      </c>
      <c r="R123" s="101">
        <f>IF(Table1[[#This Row],[Size (S, M, L)]]="S",2,IF(Table1[[#This Row],[Size (S, M, L)]]="L",1,4))</f>
        <v>2</v>
      </c>
      <c r="S123" s="101" t="s">
        <v>462</v>
      </c>
      <c r="T123" s="101">
        <f>IF(Table1[[#This Row],[TZone]]="EST",4,IF(Table1[[#This Row],[TZone]]="CST",3,IF(Table1[[#This Row],[TZone]]="MST",2,1)))</f>
        <v>3</v>
      </c>
      <c r="U123" s="101" t="s">
        <v>463</v>
      </c>
      <c r="V123" s="101">
        <f>IF(Table1[[#This Row],[Low-cost office?]]="Yes",-4,0)</f>
        <v>0</v>
      </c>
      <c r="W123" s="106"/>
      <c r="X123" t="s">
        <v>463</v>
      </c>
    </row>
    <row r="124" spans="1:24" x14ac:dyDescent="0.55000000000000004">
      <c r="A124" t="s">
        <v>671</v>
      </c>
      <c r="B12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4" s="101" t="s">
        <v>469</v>
      </c>
      <c r="D124" s="99" t="s">
        <v>470</v>
      </c>
      <c r="E124" s="99" t="s">
        <v>460</v>
      </c>
      <c r="F124" s="99" t="s">
        <v>460</v>
      </c>
      <c r="G124" s="99" t="s">
        <v>470</v>
      </c>
      <c r="H124" s="99" t="s">
        <v>470</v>
      </c>
      <c r="I124" s="99" t="s">
        <v>470</v>
      </c>
      <c r="J124" s="98">
        <f>IF(Table1[[#This Row],[CIV]]="⮽",0,1)*1.5</f>
        <v>0</v>
      </c>
      <c r="K124" s="98">
        <f>IF(Table1[[#This Row],[ARC]]="⮽",0,1)*3</f>
        <v>3</v>
      </c>
      <c r="L124" s="98">
        <f>IF(Table1[[#This Row],[STR]]="⮽",0,1)*2</f>
        <v>0</v>
      </c>
      <c r="M124" s="98">
        <f>IF(Table1[[#This Row],[MP]]="⮽",0,1)</f>
        <v>0</v>
      </c>
      <c r="N124" s="98">
        <f>IF(Table1[[#This Row],[ELE]]="⮽",0,1)</f>
        <v>0</v>
      </c>
      <c r="O124" s="98">
        <f>IF(Table1[[#This Row],[FP]]="⮽",0,1)</f>
        <v>0</v>
      </c>
      <c r="P124" s="101">
        <v>1</v>
      </c>
      <c r="Q124" s="101" t="s">
        <v>472</v>
      </c>
      <c r="R124" s="101">
        <f>IF(Table1[[#This Row],[Size (S, M, L)]]="S",2,IF(Table1[[#This Row],[Size (S, M, L)]]="L",1,4))</f>
        <v>2</v>
      </c>
      <c r="S124" s="101" t="s">
        <v>485</v>
      </c>
      <c r="T124" s="101">
        <f>IF(Table1[[#This Row],[TZone]]="EST",4,IF(Table1[[#This Row],[TZone]]="CST",3,IF(Table1[[#This Row],[TZone]]="MST",2,1)))</f>
        <v>3</v>
      </c>
      <c r="U124" s="101" t="s">
        <v>463</v>
      </c>
      <c r="V124" s="101">
        <f>IF(Table1[[#This Row],[Low-cost office?]]="Yes",-4,0)</f>
        <v>0</v>
      </c>
      <c r="W124" s="106"/>
      <c r="X124" t="s">
        <v>463</v>
      </c>
    </row>
    <row r="125" spans="1:24" x14ac:dyDescent="0.55000000000000004">
      <c r="A125" t="s">
        <v>672</v>
      </c>
      <c r="B12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5" s="101" t="s">
        <v>469</v>
      </c>
      <c r="D125" s="99" t="s">
        <v>470</v>
      </c>
      <c r="E125" s="99" t="s">
        <v>470</v>
      </c>
      <c r="F125" s="98" t="s">
        <v>460</v>
      </c>
      <c r="G125" s="99" t="s">
        <v>470</v>
      </c>
      <c r="H125" s="99" t="s">
        <v>470</v>
      </c>
      <c r="I125" s="99" t="s">
        <v>470</v>
      </c>
      <c r="J125" s="98">
        <f>IF(Table1[[#This Row],[CIV]]="⮽",0,1)*1.5</f>
        <v>0</v>
      </c>
      <c r="K125" s="98">
        <f>IF(Table1[[#This Row],[ARC]]="⮽",0,1)*3</f>
        <v>3</v>
      </c>
      <c r="L125" s="98">
        <f>IF(Table1[[#This Row],[STR]]="⮽",0,1)*2</f>
        <v>0</v>
      </c>
      <c r="M125" s="98">
        <f>IF(Table1[[#This Row],[MP]]="⮽",0,1)</f>
        <v>0</v>
      </c>
      <c r="N125" s="98">
        <f>IF(Table1[[#This Row],[ELE]]="⮽",0,1)</f>
        <v>0</v>
      </c>
      <c r="O125" s="98">
        <f>IF(Table1[[#This Row],[FP]]="⮽",0,1)</f>
        <v>0</v>
      </c>
      <c r="P125" s="101">
        <v>2</v>
      </c>
      <c r="Q125" s="101" t="s">
        <v>472</v>
      </c>
      <c r="R125" s="101">
        <f>IF(Table1[[#This Row],[Size (S, M, L)]]="S",2,IF(Table1[[#This Row],[Size (S, M, L)]]="L",1,4))</f>
        <v>1</v>
      </c>
      <c r="S125" s="101" t="s">
        <v>473</v>
      </c>
      <c r="T125" s="101">
        <f>IF(Table1[[#This Row],[TZone]]="EST",4,IF(Table1[[#This Row],[TZone]]="CST",3,IF(Table1[[#This Row],[TZone]]="MST",2,1)))</f>
        <v>4</v>
      </c>
      <c r="U125" s="101" t="s">
        <v>463</v>
      </c>
      <c r="V125" s="101">
        <f>IF(Table1[[#This Row],[Low-cost office?]]="Yes",-4,0)</f>
        <v>0</v>
      </c>
      <c r="W125" s="106"/>
      <c r="X125" t="s">
        <v>463</v>
      </c>
    </row>
    <row r="126" spans="1:24" x14ac:dyDescent="0.55000000000000004">
      <c r="A126" t="s">
        <v>673</v>
      </c>
      <c r="B12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6" s="101" t="s">
        <v>469</v>
      </c>
      <c r="D126" s="99" t="s">
        <v>470</v>
      </c>
      <c r="E126" s="99" t="s">
        <v>470</v>
      </c>
      <c r="F126" s="98" t="s">
        <v>460</v>
      </c>
      <c r="G126" s="99" t="s">
        <v>470</v>
      </c>
      <c r="H126" s="99" t="s">
        <v>470</v>
      </c>
      <c r="I126" s="99" t="s">
        <v>470</v>
      </c>
      <c r="J126" s="99">
        <f>IF(Table1[[#This Row],[CIV]]="⮽",0,1)*1.5</f>
        <v>0</v>
      </c>
      <c r="K126" s="99">
        <f>IF(Table1[[#This Row],[ARC]]="⮽",0,1)*3</f>
        <v>3</v>
      </c>
      <c r="L126" s="99">
        <f>IF(Table1[[#This Row],[STR]]="⮽",0,1)*2</f>
        <v>0</v>
      </c>
      <c r="M126" s="99">
        <f>IF(Table1[[#This Row],[MP]]="⮽",0,1)</f>
        <v>0</v>
      </c>
      <c r="N126" s="99">
        <f>IF(Table1[[#This Row],[ELE]]="⮽",0,1)</f>
        <v>0</v>
      </c>
      <c r="O126" s="99">
        <f>IF(Table1[[#This Row],[FP]]="⮽",0,1)</f>
        <v>0</v>
      </c>
      <c r="P126" s="101">
        <v>2</v>
      </c>
      <c r="Q126" s="101" t="s">
        <v>472</v>
      </c>
      <c r="R126" s="101">
        <f>IF(Table1[[#This Row],[Size (S, M, L)]]="S",2,IF(Table1[[#This Row],[Size (S, M, L)]]="L",1,4))</f>
        <v>4</v>
      </c>
      <c r="S126" s="101" t="s">
        <v>473</v>
      </c>
      <c r="T126" s="101">
        <f>IF(Table1[[#This Row],[TZone]]="EST",4,IF(Table1[[#This Row],[TZone]]="CST",3,IF(Table1[[#This Row],[TZone]]="MST",2,1)))</f>
        <v>1</v>
      </c>
      <c r="U126" s="101" t="s">
        <v>463</v>
      </c>
      <c r="V126" s="101">
        <f>IF(Table1[[#This Row],[Low-cost office?]]="Yes",-4,0)</f>
        <v>0</v>
      </c>
      <c r="W126" s="106"/>
      <c r="X126" t="s">
        <v>463</v>
      </c>
    </row>
    <row r="127" spans="1:24" x14ac:dyDescent="0.55000000000000004">
      <c r="A127" t="s">
        <v>674</v>
      </c>
      <c r="B127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10</v>
      </c>
      <c r="C127" t="s">
        <v>469</v>
      </c>
      <c r="D127" s="95" t="s">
        <v>470</v>
      </c>
      <c r="E127" s="95" t="s">
        <v>460</v>
      </c>
      <c r="F127" s="95" t="s">
        <v>470</v>
      </c>
      <c r="G127" s="95" t="s">
        <v>470</v>
      </c>
      <c r="H127" s="95" t="s">
        <v>470</v>
      </c>
      <c r="I127" s="95" t="s">
        <v>470</v>
      </c>
      <c r="J127" s="95">
        <f>IF(Table1[[#This Row],[CIV]]="⮽",0,1)*1.5</f>
        <v>0</v>
      </c>
      <c r="K127" s="95">
        <f>IF(Table1[[#This Row],[ARC]]="⮽",0,1)*3</f>
        <v>3</v>
      </c>
      <c r="L127" s="95">
        <f>IF(Table1[[#This Row],[STR]]="⮽",0,1)*2</f>
        <v>0</v>
      </c>
      <c r="M127" s="95">
        <f>IF(Table1[[#This Row],[MP]]="⮽",0,1)</f>
        <v>0</v>
      </c>
      <c r="N127" s="95">
        <f>IF(Table1[[#This Row],[ELE]]="⮽",0,1)</f>
        <v>0</v>
      </c>
      <c r="O127" s="95">
        <f>IF(Table1[[#This Row],[FP]]="⮽",0,1)</f>
        <v>0</v>
      </c>
      <c r="P127">
        <v>1</v>
      </c>
      <c r="Q127" t="s">
        <v>472</v>
      </c>
      <c r="R127">
        <f>IF(Table1[[#This Row],[Size (S, M, L)]]="S",2,IF(Table1[[#This Row],[Size (S, M, L)]]="L",1,4))</f>
        <v>2</v>
      </c>
      <c r="S127" t="s">
        <v>465</v>
      </c>
      <c r="T127">
        <f>IF(Table1[[#This Row],[TZone]]="EST",4,IF(Table1[[#This Row],[TZone]]="CST",3,IF(Table1[[#This Row],[TZone]]="MST",2,1)))</f>
        <v>1</v>
      </c>
      <c r="U127" t="s">
        <v>463</v>
      </c>
      <c r="V127">
        <f>IF(Table1[[#This Row],[Low-cost office?]]="Yes",-4,0)</f>
        <v>0</v>
      </c>
      <c r="X127" t="s">
        <v>479</v>
      </c>
    </row>
    <row r="128" spans="1:24" x14ac:dyDescent="0.55000000000000004">
      <c r="A128" t="s">
        <v>675</v>
      </c>
      <c r="B12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9.5</v>
      </c>
      <c r="C128" s="101" t="s">
        <v>469</v>
      </c>
      <c r="D128" s="99" t="s">
        <v>470</v>
      </c>
      <c r="E128" s="99" t="s">
        <v>460</v>
      </c>
      <c r="F128" s="99" t="s">
        <v>470</v>
      </c>
      <c r="G128" s="99" t="s">
        <v>470</v>
      </c>
      <c r="H128" s="99" t="s">
        <v>470</v>
      </c>
      <c r="I128" s="99" t="s">
        <v>470</v>
      </c>
      <c r="J128" s="99">
        <f>IF(Table1[[#This Row],[CIV]]="⮽",0,1)*1.5</f>
        <v>1.5</v>
      </c>
      <c r="K128" s="99">
        <f>IF(Table1[[#This Row],[ARC]]="⮽",0,1)*3</f>
        <v>0</v>
      </c>
      <c r="L128" s="99">
        <f>IF(Table1[[#This Row],[STR]]="⮽",0,1)*2</f>
        <v>0</v>
      </c>
      <c r="M128" s="99">
        <f>IF(Table1[[#This Row],[MP]]="⮽",0,1)</f>
        <v>0</v>
      </c>
      <c r="N128" s="99">
        <f>IF(Table1[[#This Row],[ELE]]="⮽",0,1)</f>
        <v>0</v>
      </c>
      <c r="O128" s="99">
        <f>IF(Table1[[#This Row],[FP]]="⮽",0,1)</f>
        <v>0</v>
      </c>
      <c r="P128" s="101">
        <v>2</v>
      </c>
      <c r="Q128" s="101" t="s">
        <v>472</v>
      </c>
      <c r="R128" s="101">
        <f>IF(Table1[[#This Row],[Size (S, M, L)]]="S",2,IF(Table1[[#This Row],[Size (S, M, L)]]="L",1,4))</f>
        <v>2</v>
      </c>
      <c r="S128" s="101" t="s">
        <v>485</v>
      </c>
      <c r="T128" s="101">
        <f>IF(Table1[[#This Row],[TZone]]="EST",4,IF(Table1[[#This Row],[TZone]]="CST",3,IF(Table1[[#This Row],[TZone]]="MST",2,1)))</f>
        <v>4</v>
      </c>
      <c r="U128" s="101" t="s">
        <v>463</v>
      </c>
      <c r="V128" s="101">
        <f>IF(Table1[[#This Row],[Low-cost office?]]="Yes",-4,0)</f>
        <v>0</v>
      </c>
      <c r="W128" s="106"/>
      <c r="X128" t="s">
        <v>479</v>
      </c>
    </row>
    <row r="129" spans="1:24" x14ac:dyDescent="0.55000000000000004">
      <c r="A129" t="s">
        <v>558</v>
      </c>
      <c r="B12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9.5</v>
      </c>
      <c r="C129" s="101" t="s">
        <v>469</v>
      </c>
      <c r="D129" s="98" t="s">
        <v>470</v>
      </c>
      <c r="E129" s="99" t="s">
        <v>460</v>
      </c>
      <c r="F129" s="98" t="s">
        <v>470</v>
      </c>
      <c r="G129" s="98" t="s">
        <v>470</v>
      </c>
      <c r="H129" s="98" t="s">
        <v>470</v>
      </c>
      <c r="I129" s="98" t="s">
        <v>470</v>
      </c>
      <c r="J129" s="98">
        <f>IF(Table1[[#This Row],[CIV]]="⮽",0,1)*1.5</f>
        <v>1.5</v>
      </c>
      <c r="K129" s="98">
        <f>IF(Table1[[#This Row],[ARC]]="⮽",0,1)*3</f>
        <v>0</v>
      </c>
      <c r="L129" s="98">
        <f>IF(Table1[[#This Row],[STR]]="⮽",0,1)*2</f>
        <v>2</v>
      </c>
      <c r="M129" s="98">
        <f>IF(Table1[[#This Row],[MP]]="⮽",0,1)</f>
        <v>0</v>
      </c>
      <c r="N129" s="98">
        <f>IF(Table1[[#This Row],[ELE]]="⮽",0,1)</f>
        <v>0</v>
      </c>
      <c r="O129" s="98">
        <f>IF(Table1[[#This Row],[FP]]="⮽",0,1)</f>
        <v>0</v>
      </c>
      <c r="P129" s="101">
        <v>2</v>
      </c>
      <c r="Q129" s="101" t="s">
        <v>472</v>
      </c>
      <c r="R129" s="101">
        <f>IF(Table1[[#This Row],[Size (S, M, L)]]="S",2,IF(Table1[[#This Row],[Size (S, M, L)]]="L",1,4))</f>
        <v>2</v>
      </c>
      <c r="S129" s="101" t="s">
        <v>485</v>
      </c>
      <c r="T129" s="101">
        <f>IF(Table1[[#This Row],[TZone]]="EST",4,IF(Table1[[#This Row],[TZone]]="CST",3,IF(Table1[[#This Row],[TZone]]="MST",2,1)))</f>
        <v>2</v>
      </c>
      <c r="U129" s="101" t="s">
        <v>463</v>
      </c>
      <c r="V129" s="101">
        <f>IF(Table1[[#This Row],[Low-cost office?]]="Yes",-4,0)</f>
        <v>0</v>
      </c>
      <c r="W129" s="106"/>
      <c r="X129" t="s">
        <v>479</v>
      </c>
    </row>
    <row r="130" spans="1:24" x14ac:dyDescent="0.55000000000000004">
      <c r="A130" t="s">
        <v>559</v>
      </c>
      <c r="B130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9.5</v>
      </c>
      <c r="C130" t="s">
        <v>464</v>
      </c>
      <c r="D130" s="95" t="s">
        <v>470</v>
      </c>
      <c r="E130" s="94" t="s">
        <v>460</v>
      </c>
      <c r="F130" s="95" t="s">
        <v>470</v>
      </c>
      <c r="G130" s="95" t="s">
        <v>470</v>
      </c>
      <c r="H130" s="95" t="s">
        <v>470</v>
      </c>
      <c r="I130" s="95" t="s">
        <v>470</v>
      </c>
      <c r="J130" s="95">
        <f>IF(Table1[[#This Row],[CIV]]="⮽",0,1)*1.5</f>
        <v>1.5</v>
      </c>
      <c r="K130" s="95">
        <f>IF(Table1[[#This Row],[ARC]]="⮽",0,1)*3</f>
        <v>0</v>
      </c>
      <c r="L130" s="95">
        <f>IF(Table1[[#This Row],[STR]]="⮽",0,1)*2</f>
        <v>2</v>
      </c>
      <c r="M130" s="95">
        <f>IF(Table1[[#This Row],[MP]]="⮽",0,1)</f>
        <v>0</v>
      </c>
      <c r="N130" s="95">
        <f>IF(Table1[[#This Row],[ELE]]="⮽",0,1)</f>
        <v>0</v>
      </c>
      <c r="O130" s="95">
        <f>IF(Table1[[#This Row],[FP]]="⮽",0,1)</f>
        <v>0</v>
      </c>
      <c r="P130">
        <v>2</v>
      </c>
      <c r="Q130" t="s">
        <v>472</v>
      </c>
      <c r="R130">
        <f>IF(Table1[[#This Row],[Size (S, M, L)]]="S",2,IF(Table1[[#This Row],[Size (S, M, L)]]="L",1,4))</f>
        <v>1</v>
      </c>
      <c r="S130" t="s">
        <v>485</v>
      </c>
      <c r="T130">
        <f>IF(Table1[[#This Row],[TZone]]="EST",4,IF(Table1[[#This Row],[TZone]]="CST",3,IF(Table1[[#This Row],[TZone]]="MST",2,1)))</f>
        <v>3</v>
      </c>
      <c r="U130" t="s">
        <v>463</v>
      </c>
      <c r="V130">
        <f>IF(Table1[[#This Row],[Low-cost office?]]="Yes",-4,0)</f>
        <v>0</v>
      </c>
      <c r="X130" t="s">
        <v>479</v>
      </c>
    </row>
    <row r="131" spans="1:24" x14ac:dyDescent="0.55000000000000004">
      <c r="A131" t="s">
        <v>560</v>
      </c>
      <c r="B13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</v>
      </c>
      <c r="C131" t="s">
        <v>469</v>
      </c>
      <c r="D131" s="95" t="s">
        <v>470</v>
      </c>
      <c r="E131" s="95" t="s">
        <v>470</v>
      </c>
      <c r="F131" s="95" t="s">
        <v>470</v>
      </c>
      <c r="G131" s="95" t="s">
        <v>470</v>
      </c>
      <c r="H131" s="95" t="s">
        <v>470</v>
      </c>
      <c r="I131" s="95" t="s">
        <v>470</v>
      </c>
      <c r="J131" s="95">
        <f>IF(Table1[[#This Row],[CIV]]="⮽",0,1)*1.5</f>
        <v>0</v>
      </c>
      <c r="K131" s="95">
        <f>IF(Table1[[#This Row],[ARC]]="⮽",0,1)*3</f>
        <v>3</v>
      </c>
      <c r="L131" s="95">
        <f>IF(Table1[[#This Row],[STR]]="⮽",0,1)*2</f>
        <v>0</v>
      </c>
      <c r="M131" s="95">
        <f>IF(Table1[[#This Row],[MP]]="⮽",0,1)</f>
        <v>0</v>
      </c>
      <c r="N131" s="95">
        <f>IF(Table1[[#This Row],[ELE]]="⮽",0,1)</f>
        <v>0</v>
      </c>
      <c r="O131" s="95">
        <f>IF(Table1[[#This Row],[FP]]="⮽",0,1)</f>
        <v>0</v>
      </c>
      <c r="P131">
        <v>2</v>
      </c>
      <c r="Q131" t="s">
        <v>472</v>
      </c>
      <c r="R131">
        <f>IF(Table1[[#This Row],[Size (S, M, L)]]="S",2,IF(Table1[[#This Row],[Size (S, M, L)]]="L",1,4))</f>
        <v>4</v>
      </c>
      <c r="S131" t="s">
        <v>462</v>
      </c>
      <c r="T131">
        <f>IF(Table1[[#This Row],[TZone]]="EST",4,IF(Table1[[#This Row],[TZone]]="CST",3,IF(Table1[[#This Row],[TZone]]="MST",2,1)))</f>
        <v>4</v>
      </c>
      <c r="U131" t="s">
        <v>463</v>
      </c>
      <c r="V131">
        <f>IF(Table1[[#This Row],[Low-cost office?]]="Yes",-4,0)</f>
        <v>-4</v>
      </c>
      <c r="X131" t="s">
        <v>479</v>
      </c>
    </row>
    <row r="132" spans="1:24" x14ac:dyDescent="0.55000000000000004">
      <c r="A132" t="s">
        <v>561</v>
      </c>
      <c r="B13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</v>
      </c>
      <c r="C132" s="101" t="s">
        <v>469</v>
      </c>
      <c r="D132" s="99" t="s">
        <v>470</v>
      </c>
      <c r="E132" s="98" t="s">
        <v>460</v>
      </c>
      <c r="F132" s="99" t="s">
        <v>470</v>
      </c>
      <c r="G132" s="99" t="s">
        <v>470</v>
      </c>
      <c r="H132" s="99" t="s">
        <v>470</v>
      </c>
      <c r="I132" s="99" t="s">
        <v>470</v>
      </c>
      <c r="J132" s="99">
        <f>IF(Table1[[#This Row],[CIV]]="⮽",0,1)*1.5</f>
        <v>0</v>
      </c>
      <c r="K132" s="99">
        <f>IF(Table1[[#This Row],[ARC]]="⮽",0,1)*3</f>
        <v>3</v>
      </c>
      <c r="L132" s="99">
        <f>IF(Table1[[#This Row],[STR]]="⮽",0,1)*2</f>
        <v>0</v>
      </c>
      <c r="M132" s="99">
        <f>IF(Table1[[#This Row],[MP]]="⮽",0,1)</f>
        <v>0</v>
      </c>
      <c r="N132" s="99">
        <f>IF(Table1[[#This Row],[ELE]]="⮽",0,1)</f>
        <v>0</v>
      </c>
      <c r="O132" s="99">
        <f>IF(Table1[[#This Row],[FP]]="⮽",0,1)</f>
        <v>0</v>
      </c>
      <c r="P132" s="101">
        <v>3</v>
      </c>
      <c r="Q132" s="101" t="s">
        <v>461</v>
      </c>
      <c r="R132" s="101">
        <f>IF(Table1[[#This Row],[Size (S, M, L)]]="S",2,IF(Table1[[#This Row],[Size (S, M, L)]]="L",1,4))</f>
        <v>2</v>
      </c>
      <c r="S132" s="101" t="s">
        <v>485</v>
      </c>
      <c r="T132" s="101">
        <f>IF(Table1[[#This Row],[TZone]]="EST",4,IF(Table1[[#This Row],[TZone]]="CST",3,IF(Table1[[#This Row],[TZone]]="MST",2,1)))</f>
        <v>2</v>
      </c>
      <c r="U132" s="101" t="s">
        <v>479</v>
      </c>
      <c r="V132" s="101">
        <f>IF(Table1[[#This Row],[Low-cost office?]]="Yes",-4,0)</f>
        <v>0</v>
      </c>
      <c r="W132" s="106"/>
      <c r="X132" t="s">
        <v>479</v>
      </c>
    </row>
    <row r="133" spans="1:24" x14ac:dyDescent="0.55000000000000004">
      <c r="A133" t="s">
        <v>562</v>
      </c>
      <c r="B133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</v>
      </c>
      <c r="C133" t="s">
        <v>469</v>
      </c>
      <c r="D133" s="95" t="s">
        <v>470</v>
      </c>
      <c r="E133" s="94" t="s">
        <v>460</v>
      </c>
      <c r="F133" s="95" t="s">
        <v>470</v>
      </c>
      <c r="G133" s="95" t="s">
        <v>470</v>
      </c>
      <c r="H133" s="95" t="s">
        <v>470</v>
      </c>
      <c r="I133" s="95" t="s">
        <v>470</v>
      </c>
      <c r="J133" s="95">
        <f>IF(Table1[[#This Row],[CIV]]="⮽",0,1)*1.5</f>
        <v>0</v>
      </c>
      <c r="K133" s="95">
        <f>IF(Table1[[#This Row],[ARC]]="⮽",0,1)*3</f>
        <v>0</v>
      </c>
      <c r="L133" s="95">
        <f>IF(Table1[[#This Row],[STR]]="⮽",0,1)*2</f>
        <v>0</v>
      </c>
      <c r="M133" s="95">
        <f>IF(Table1[[#This Row],[MP]]="⮽",0,1)</f>
        <v>1</v>
      </c>
      <c r="N133" s="95">
        <f>IF(Table1[[#This Row],[ELE]]="⮽",0,1)</f>
        <v>1</v>
      </c>
      <c r="O133" s="95">
        <f>IF(Table1[[#This Row],[FP]]="⮽",0,1)</f>
        <v>0</v>
      </c>
      <c r="P133">
        <v>2</v>
      </c>
      <c r="Q133" t="s">
        <v>472</v>
      </c>
      <c r="R133">
        <f>IF(Table1[[#This Row],[Size (S, M, L)]]="S",2,IF(Table1[[#This Row],[Size (S, M, L)]]="L",1,4))</f>
        <v>2</v>
      </c>
      <c r="S133" t="s">
        <v>485</v>
      </c>
      <c r="T133">
        <f>IF(Table1[[#This Row],[TZone]]="EST",4,IF(Table1[[#This Row],[TZone]]="CST",3,IF(Table1[[#This Row],[TZone]]="MST",2,1)))</f>
        <v>3</v>
      </c>
      <c r="U133" t="s">
        <v>463</v>
      </c>
      <c r="V133">
        <f>IF(Table1[[#This Row],[Low-cost office?]]="Yes",-4,0)</f>
        <v>0</v>
      </c>
      <c r="X133" t="s">
        <v>479</v>
      </c>
    </row>
    <row r="134" spans="1:24" x14ac:dyDescent="0.55000000000000004">
      <c r="A134" t="s">
        <v>564</v>
      </c>
      <c r="B13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</v>
      </c>
      <c r="C134" s="101" t="s">
        <v>469</v>
      </c>
      <c r="D134" s="99" t="s">
        <v>470</v>
      </c>
      <c r="E134" s="98" t="s">
        <v>460</v>
      </c>
      <c r="F134" s="99" t="s">
        <v>470</v>
      </c>
      <c r="G134" s="99" t="s">
        <v>470</v>
      </c>
      <c r="H134" s="99" t="s">
        <v>470</v>
      </c>
      <c r="I134" s="99" t="s">
        <v>470</v>
      </c>
      <c r="J134" s="99">
        <f>IF(Table1[[#This Row],[CIV]]="⮽",0,1)*1.5</f>
        <v>0</v>
      </c>
      <c r="K134" s="99">
        <f>IF(Table1[[#This Row],[ARC]]="⮽",0,1)*3</f>
        <v>3</v>
      </c>
      <c r="L134" s="99">
        <f>IF(Table1[[#This Row],[STR]]="⮽",0,1)*2</f>
        <v>0</v>
      </c>
      <c r="M134" s="99">
        <f>IF(Table1[[#This Row],[MP]]="⮽",0,1)</f>
        <v>0</v>
      </c>
      <c r="N134" s="99">
        <f>IF(Table1[[#This Row],[ELE]]="⮽",0,1)</f>
        <v>0</v>
      </c>
      <c r="O134" s="99">
        <f>IF(Table1[[#This Row],[FP]]="⮽",0,1)</f>
        <v>0</v>
      </c>
      <c r="P134" s="101">
        <v>1</v>
      </c>
      <c r="Q134" s="101" t="s">
        <v>472</v>
      </c>
      <c r="R134" s="101">
        <f>IF(Table1[[#This Row],[Size (S, M, L)]]="S",2,IF(Table1[[#This Row],[Size (S, M, L)]]="L",1,4))</f>
        <v>1</v>
      </c>
      <c r="S134" s="101" t="s">
        <v>465</v>
      </c>
      <c r="T134" s="101">
        <f>IF(Table1[[#This Row],[TZone]]="EST",4,IF(Table1[[#This Row],[TZone]]="CST",3,IF(Table1[[#This Row],[TZone]]="MST",2,1)))</f>
        <v>3</v>
      </c>
      <c r="U134" s="101" t="s">
        <v>463</v>
      </c>
      <c r="V134" s="101">
        <f>IF(Table1[[#This Row],[Low-cost office?]]="Yes",-4,0)</f>
        <v>0</v>
      </c>
      <c r="W134" s="106"/>
      <c r="X134" t="s">
        <v>479</v>
      </c>
    </row>
    <row r="135" spans="1:24" x14ac:dyDescent="0.55000000000000004">
      <c r="A135" t="s">
        <v>676</v>
      </c>
      <c r="B13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9</v>
      </c>
      <c r="C135" s="101" t="s">
        <v>469</v>
      </c>
      <c r="D135" s="99" t="s">
        <v>470</v>
      </c>
      <c r="E135" s="98" t="s">
        <v>460</v>
      </c>
      <c r="F135" s="99" t="s">
        <v>470</v>
      </c>
      <c r="G135" s="99" t="s">
        <v>470</v>
      </c>
      <c r="H135" s="99" t="s">
        <v>470</v>
      </c>
      <c r="I135" s="99" t="s">
        <v>470</v>
      </c>
      <c r="J135" s="99">
        <f>IF(Table1[[#This Row],[CIV]]="⮽",0,1)*1.5</f>
        <v>0</v>
      </c>
      <c r="K135" s="99">
        <f>IF(Table1[[#This Row],[ARC]]="⮽",0,1)*3</f>
        <v>0</v>
      </c>
      <c r="L135" s="99">
        <f>IF(Table1[[#This Row],[STR]]="⮽",0,1)*2</f>
        <v>2</v>
      </c>
      <c r="M135" s="99">
        <f>IF(Table1[[#This Row],[MP]]="⮽",0,1)</f>
        <v>0</v>
      </c>
      <c r="N135" s="99">
        <f>IF(Table1[[#This Row],[ELE]]="⮽",0,1)</f>
        <v>0</v>
      </c>
      <c r="O135" s="99">
        <f>IF(Table1[[#This Row],[FP]]="⮽",0,1)</f>
        <v>0</v>
      </c>
      <c r="P135" s="101">
        <v>1</v>
      </c>
      <c r="Q135" s="101" t="s">
        <v>475</v>
      </c>
      <c r="R135" s="101">
        <f>IF(Table1[[#This Row],[Size (S, M, L)]]="S",2,IF(Table1[[#This Row],[Size (S, M, L)]]="L",1,4))</f>
        <v>2</v>
      </c>
      <c r="S135" s="101" t="s">
        <v>462</v>
      </c>
      <c r="T135" s="101">
        <f>IF(Table1[[#This Row],[TZone]]="EST",4,IF(Table1[[#This Row],[TZone]]="CST",3,IF(Table1[[#This Row],[TZone]]="MST",2,1)))</f>
        <v>3</v>
      </c>
      <c r="U135" s="101" t="s">
        <v>463</v>
      </c>
      <c r="V135" s="101">
        <f>IF(Table1[[#This Row],[Low-cost office?]]="Yes",-4,0)</f>
        <v>0</v>
      </c>
      <c r="W135" s="106"/>
      <c r="X135" t="s">
        <v>479</v>
      </c>
    </row>
    <row r="136" spans="1:24" x14ac:dyDescent="0.55000000000000004">
      <c r="A136" t="s">
        <v>677</v>
      </c>
      <c r="B13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36" s="101" t="s">
        <v>469</v>
      </c>
      <c r="D136" s="99" t="s">
        <v>460</v>
      </c>
      <c r="E136" s="99" t="s">
        <v>470</v>
      </c>
      <c r="F136" s="99" t="s">
        <v>470</v>
      </c>
      <c r="G136" s="99" t="s">
        <v>470</v>
      </c>
      <c r="H136" s="99" t="s">
        <v>470</v>
      </c>
      <c r="I136" s="99" t="s">
        <v>470</v>
      </c>
      <c r="J136" s="99">
        <f>IF(Table1[[#This Row],[CIV]]="⮽",0,1)*1.5</f>
        <v>1.5</v>
      </c>
      <c r="K136" s="99">
        <f>IF(Table1[[#This Row],[ARC]]="⮽",0,1)*3</f>
        <v>0</v>
      </c>
      <c r="L136" s="99">
        <f>IF(Table1[[#This Row],[STR]]="⮽",0,1)*2</f>
        <v>0</v>
      </c>
      <c r="M136" s="99">
        <f>IF(Table1[[#This Row],[MP]]="⮽",0,1)</f>
        <v>0</v>
      </c>
      <c r="N136" s="99">
        <f>IF(Table1[[#This Row],[ELE]]="⮽",0,1)</f>
        <v>0</v>
      </c>
      <c r="O136" s="99">
        <f>IF(Table1[[#This Row],[FP]]="⮽",0,1)</f>
        <v>0</v>
      </c>
      <c r="P136" s="101">
        <v>1</v>
      </c>
      <c r="Q136" s="101" t="s">
        <v>472</v>
      </c>
      <c r="R136" s="101">
        <f>IF(Table1[[#This Row],[Size (S, M, L)]]="S",2,IF(Table1[[#This Row],[Size (S, M, L)]]="L",1,4))</f>
        <v>2</v>
      </c>
      <c r="S136" s="101" t="s">
        <v>462</v>
      </c>
      <c r="T136" s="101">
        <f>IF(Table1[[#This Row],[TZone]]="EST",4,IF(Table1[[#This Row],[TZone]]="CST",3,IF(Table1[[#This Row],[TZone]]="MST",2,1)))</f>
        <v>1</v>
      </c>
      <c r="U136" s="101" t="s">
        <v>463</v>
      </c>
      <c r="V136" s="101">
        <f>IF(Table1[[#This Row],[Low-cost office?]]="Yes",-4,0)</f>
        <v>0</v>
      </c>
      <c r="W136" s="106"/>
      <c r="X136" t="s">
        <v>479</v>
      </c>
    </row>
    <row r="137" spans="1:24" x14ac:dyDescent="0.55000000000000004">
      <c r="A137" t="s">
        <v>678</v>
      </c>
      <c r="B13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37" s="101" t="s">
        <v>469</v>
      </c>
      <c r="D137" s="98" t="s">
        <v>460</v>
      </c>
      <c r="E137" s="99" t="s">
        <v>470</v>
      </c>
      <c r="F137" s="98" t="s">
        <v>460</v>
      </c>
      <c r="G137" s="99" t="s">
        <v>470</v>
      </c>
      <c r="H137" s="99" t="s">
        <v>470</v>
      </c>
      <c r="I137" s="99" t="s">
        <v>470</v>
      </c>
      <c r="J137" s="99">
        <f>IF(Table1[[#This Row],[CIV]]="⮽",0,1)*1.5</f>
        <v>1.5</v>
      </c>
      <c r="K137" s="99">
        <f>IF(Table1[[#This Row],[ARC]]="⮽",0,1)*3</f>
        <v>0</v>
      </c>
      <c r="L137" s="99">
        <f>IF(Table1[[#This Row],[STR]]="⮽",0,1)*2</f>
        <v>2</v>
      </c>
      <c r="M137" s="99">
        <f>IF(Table1[[#This Row],[MP]]="⮽",0,1)</f>
        <v>0</v>
      </c>
      <c r="N137" s="99">
        <f>IF(Table1[[#This Row],[ELE]]="⮽",0,1)</f>
        <v>0</v>
      </c>
      <c r="O137" s="99">
        <f>IF(Table1[[#This Row],[FP]]="⮽",0,1)</f>
        <v>0</v>
      </c>
      <c r="P137" s="101">
        <v>1</v>
      </c>
      <c r="Q137" s="101" t="s">
        <v>472</v>
      </c>
      <c r="R137" s="101">
        <f>IF(Table1[[#This Row],[Size (S, M, L)]]="S",2,IF(Table1[[#This Row],[Size (S, M, L)]]="L",1,4))</f>
        <v>2</v>
      </c>
      <c r="S137" s="101" t="s">
        <v>473</v>
      </c>
      <c r="T137" s="101">
        <f>IF(Table1[[#This Row],[TZone]]="EST",4,IF(Table1[[#This Row],[TZone]]="CST",3,IF(Table1[[#This Row],[TZone]]="MST",2,1)))</f>
        <v>1</v>
      </c>
      <c r="U137" s="101" t="s">
        <v>463</v>
      </c>
      <c r="V137" s="101">
        <f>IF(Table1[[#This Row],[Low-cost office?]]="Yes",-4,0)</f>
        <v>0</v>
      </c>
      <c r="W137" s="106"/>
      <c r="X137" t="s">
        <v>479</v>
      </c>
    </row>
    <row r="138" spans="1:24" x14ac:dyDescent="0.55000000000000004">
      <c r="A138" t="s">
        <v>569</v>
      </c>
      <c r="B13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38" s="101" t="s">
        <v>469</v>
      </c>
      <c r="D138" s="98" t="s">
        <v>460</v>
      </c>
      <c r="E138" s="99" t="s">
        <v>470</v>
      </c>
      <c r="F138" s="98" t="s">
        <v>460</v>
      </c>
      <c r="G138" s="99" t="s">
        <v>470</v>
      </c>
      <c r="H138" s="99" t="s">
        <v>470</v>
      </c>
      <c r="I138" s="99" t="s">
        <v>470</v>
      </c>
      <c r="J138" s="99">
        <f>IF(Table1[[#This Row],[CIV]]="⮽",0,1)*1.5</f>
        <v>1.5</v>
      </c>
      <c r="K138" s="99">
        <f>IF(Table1[[#This Row],[ARC]]="⮽",0,1)*3</f>
        <v>0</v>
      </c>
      <c r="L138" s="99">
        <f>IF(Table1[[#This Row],[STR]]="⮽",0,1)*2</f>
        <v>0</v>
      </c>
      <c r="M138" s="99">
        <f>IF(Table1[[#This Row],[MP]]="⮽",0,1)</f>
        <v>0</v>
      </c>
      <c r="N138" s="99">
        <f>IF(Table1[[#This Row],[ELE]]="⮽",0,1)</f>
        <v>0</v>
      </c>
      <c r="O138" s="99">
        <f>IF(Table1[[#This Row],[FP]]="⮽",0,1)</f>
        <v>0</v>
      </c>
      <c r="P138" s="101">
        <v>1</v>
      </c>
      <c r="Q138" s="101" t="s">
        <v>475</v>
      </c>
      <c r="R138" s="101">
        <f>IF(Table1[[#This Row],[Size (S, M, L)]]="S",2,IF(Table1[[#This Row],[Size (S, M, L)]]="L",1,4))</f>
        <v>4</v>
      </c>
      <c r="S138" s="101" t="s">
        <v>465</v>
      </c>
      <c r="T138" s="101">
        <f>IF(Table1[[#This Row],[TZone]]="EST",4,IF(Table1[[#This Row],[TZone]]="CST",3,IF(Table1[[#This Row],[TZone]]="MST",2,1)))</f>
        <v>1</v>
      </c>
      <c r="U138" s="101" t="s">
        <v>463</v>
      </c>
      <c r="V138" s="101">
        <f>IF(Table1[[#This Row],[Low-cost office?]]="Yes",-4,0)</f>
        <v>0</v>
      </c>
      <c r="W138" s="106"/>
      <c r="X138" t="s">
        <v>479</v>
      </c>
    </row>
    <row r="139" spans="1:24" x14ac:dyDescent="0.55000000000000004">
      <c r="A139" t="s">
        <v>601</v>
      </c>
      <c r="B139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39" t="s">
        <v>469</v>
      </c>
      <c r="D139" s="95" t="s">
        <v>470</v>
      </c>
      <c r="E139" s="95" t="s">
        <v>470</v>
      </c>
      <c r="F139" s="95" t="s">
        <v>470</v>
      </c>
      <c r="G139" s="95" t="s">
        <v>470</v>
      </c>
      <c r="H139" s="95" t="s">
        <v>470</v>
      </c>
      <c r="I139" s="95" t="s">
        <v>470</v>
      </c>
      <c r="J139" s="95">
        <f>IF(Table1[[#This Row],[CIV]]="⮽",0,1)*1.5</f>
        <v>1.5</v>
      </c>
      <c r="K139" s="95">
        <f>IF(Table1[[#This Row],[ARC]]="⮽",0,1)*3</f>
        <v>0</v>
      </c>
      <c r="L139" s="95">
        <f>IF(Table1[[#This Row],[STR]]="⮽",0,1)*2</f>
        <v>0</v>
      </c>
      <c r="M139" s="95">
        <f>IF(Table1[[#This Row],[MP]]="⮽",0,1)</f>
        <v>0</v>
      </c>
      <c r="N139" s="95">
        <f>IF(Table1[[#This Row],[ELE]]="⮽",0,1)</f>
        <v>0</v>
      </c>
      <c r="O139" s="95">
        <f>IF(Table1[[#This Row],[FP]]="⮽",0,1)</f>
        <v>0</v>
      </c>
      <c r="P139">
        <v>2</v>
      </c>
      <c r="Q139" t="s">
        <v>472</v>
      </c>
      <c r="R139">
        <f>IF(Table1[[#This Row],[Size (S, M, L)]]="S",2,IF(Table1[[#This Row],[Size (S, M, L)]]="L",1,4))</f>
        <v>2</v>
      </c>
      <c r="S139" t="s">
        <v>465</v>
      </c>
      <c r="T139">
        <f>IF(Table1[[#This Row],[TZone]]="EST",4,IF(Table1[[#This Row],[TZone]]="CST",3,IF(Table1[[#This Row],[TZone]]="MST",2,1)))</f>
        <v>3</v>
      </c>
      <c r="U139" t="s">
        <v>463</v>
      </c>
      <c r="V139">
        <f>IF(Table1[[#This Row],[Low-cost office?]]="Yes",-4,0)</f>
        <v>0</v>
      </c>
      <c r="X139" t="s">
        <v>463</v>
      </c>
    </row>
    <row r="140" spans="1:24" x14ac:dyDescent="0.55000000000000004">
      <c r="A140" t="s">
        <v>570</v>
      </c>
      <c r="B140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40" t="s">
        <v>469</v>
      </c>
      <c r="D140" s="95" t="s">
        <v>470</v>
      </c>
      <c r="E140" s="94" t="s">
        <v>460</v>
      </c>
      <c r="F140" s="95" t="s">
        <v>470</v>
      </c>
      <c r="G140" s="95" t="s">
        <v>470</v>
      </c>
      <c r="H140" s="95" t="s">
        <v>470</v>
      </c>
      <c r="I140" s="95" t="s">
        <v>470</v>
      </c>
      <c r="J140" s="95">
        <f>IF(Table1[[#This Row],[CIV]]="⮽",0,1)*1.5</f>
        <v>1.5</v>
      </c>
      <c r="K140" s="95">
        <f>IF(Table1[[#This Row],[ARC]]="⮽",0,1)*3</f>
        <v>0</v>
      </c>
      <c r="L140" s="95">
        <f>IF(Table1[[#This Row],[STR]]="⮽",0,1)*2</f>
        <v>2</v>
      </c>
      <c r="M140" s="95">
        <f>IF(Table1[[#This Row],[MP]]="⮽",0,1)</f>
        <v>0</v>
      </c>
      <c r="N140" s="95">
        <f>IF(Table1[[#This Row],[ELE]]="⮽",0,1)</f>
        <v>0</v>
      </c>
      <c r="O140" s="95">
        <f>IF(Table1[[#This Row],[FP]]="⮽",0,1)</f>
        <v>0</v>
      </c>
      <c r="P140">
        <v>1</v>
      </c>
      <c r="Q140" t="s">
        <v>461</v>
      </c>
      <c r="R140">
        <f>IF(Table1[[#This Row],[Size (S, M, L)]]="S",2,IF(Table1[[#This Row],[Size (S, M, L)]]="L",1,4))</f>
        <v>2</v>
      </c>
      <c r="S140" t="s">
        <v>462</v>
      </c>
      <c r="T140">
        <f>IF(Table1[[#This Row],[TZone]]="EST",4,IF(Table1[[#This Row],[TZone]]="CST",3,IF(Table1[[#This Row],[TZone]]="MST",2,1)))</f>
        <v>1</v>
      </c>
      <c r="U140" t="s">
        <v>479</v>
      </c>
      <c r="V140">
        <f>IF(Table1[[#This Row],[Low-cost office?]]="Yes",-4,0)</f>
        <v>0</v>
      </c>
      <c r="X140" t="s">
        <v>479</v>
      </c>
    </row>
    <row r="141" spans="1:24" x14ac:dyDescent="0.55000000000000004">
      <c r="A141" t="s">
        <v>571</v>
      </c>
      <c r="B14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41" s="101" t="s">
        <v>469</v>
      </c>
      <c r="D141" s="99" t="s">
        <v>470</v>
      </c>
      <c r="E141" s="98" t="s">
        <v>460</v>
      </c>
      <c r="F141" s="99" t="s">
        <v>470</v>
      </c>
      <c r="G141" s="99" t="s">
        <v>470</v>
      </c>
      <c r="H141" s="99" t="s">
        <v>470</v>
      </c>
      <c r="I141" s="99" t="s">
        <v>470</v>
      </c>
      <c r="J141" s="99">
        <f>IF(Table1[[#This Row],[CIV]]="⮽",0,1)*1.5</f>
        <v>1.5</v>
      </c>
      <c r="K141" s="99">
        <f>IF(Table1[[#This Row],[ARC]]="⮽",0,1)*3</f>
        <v>0</v>
      </c>
      <c r="L141" s="99">
        <f>IF(Table1[[#This Row],[STR]]="⮽",0,1)*2</f>
        <v>0</v>
      </c>
      <c r="M141" s="99">
        <f>IF(Table1[[#This Row],[MP]]="⮽",0,1)</f>
        <v>0</v>
      </c>
      <c r="N141" s="99">
        <f>IF(Table1[[#This Row],[ELE]]="⮽",0,1)</f>
        <v>0</v>
      </c>
      <c r="O141" s="99">
        <f>IF(Table1[[#This Row],[FP]]="⮽",0,1)</f>
        <v>0</v>
      </c>
      <c r="P141" s="101">
        <v>1</v>
      </c>
      <c r="Q141" s="101" t="s">
        <v>472</v>
      </c>
      <c r="R141" s="101">
        <f>IF(Table1[[#This Row],[Size (S, M, L)]]="S",2,IF(Table1[[#This Row],[Size (S, M, L)]]="L",1,4))</f>
        <v>2</v>
      </c>
      <c r="S141" s="101" t="s">
        <v>473</v>
      </c>
      <c r="T141" s="101">
        <f>IF(Table1[[#This Row],[TZone]]="EST",4,IF(Table1[[#This Row],[TZone]]="CST",3,IF(Table1[[#This Row],[TZone]]="MST",2,1)))</f>
        <v>3</v>
      </c>
      <c r="U141" s="101" t="s">
        <v>463</v>
      </c>
      <c r="V141" s="101">
        <f>IF(Table1[[#This Row],[Low-cost office?]]="Yes",-4,0)</f>
        <v>0</v>
      </c>
      <c r="W141" s="106"/>
      <c r="X141" t="s">
        <v>479</v>
      </c>
    </row>
    <row r="142" spans="1:24" x14ac:dyDescent="0.55000000000000004">
      <c r="A142" t="s">
        <v>574</v>
      </c>
      <c r="B14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42" s="101" t="s">
        <v>469</v>
      </c>
      <c r="D142" s="107" t="s">
        <v>470</v>
      </c>
      <c r="E142" s="107" t="s">
        <v>470</v>
      </c>
      <c r="F142" s="98" t="s">
        <v>460</v>
      </c>
      <c r="G142" s="107" t="s">
        <v>470</v>
      </c>
      <c r="H142" s="107" t="s">
        <v>470</v>
      </c>
      <c r="I142" s="107" t="s">
        <v>470</v>
      </c>
      <c r="J142" s="107">
        <f>IF(Table1[[#This Row],[CIV]]="⮽",0,1)*1.5</f>
        <v>1.5</v>
      </c>
      <c r="K142" s="107">
        <f>IF(Table1[[#This Row],[ARC]]="⮽",0,1)*3</f>
        <v>0</v>
      </c>
      <c r="L142" s="107">
        <f>IF(Table1[[#This Row],[STR]]="⮽",0,1)*2</f>
        <v>0</v>
      </c>
      <c r="M142" s="107">
        <f>IF(Table1[[#This Row],[MP]]="⮽",0,1)</f>
        <v>0</v>
      </c>
      <c r="N142" s="107">
        <f>IF(Table1[[#This Row],[ELE]]="⮽",0,1)</f>
        <v>0</v>
      </c>
      <c r="O142" s="107">
        <f>IF(Table1[[#This Row],[FP]]="⮽",0,1)</f>
        <v>0</v>
      </c>
      <c r="P142" s="101">
        <v>1</v>
      </c>
      <c r="Q142" s="101" t="s">
        <v>472</v>
      </c>
      <c r="R142" s="101">
        <f>IF(Table1[[#This Row],[Size (S, M, L)]]="S",2,IF(Table1[[#This Row],[Size (S, M, L)]]="L",1,4))</f>
        <v>1</v>
      </c>
      <c r="S142" s="101" t="s">
        <v>465</v>
      </c>
      <c r="T142" s="101">
        <f>IF(Table1[[#This Row],[TZone]]="EST",4,IF(Table1[[#This Row],[TZone]]="CST",3,IF(Table1[[#This Row],[TZone]]="MST",2,1)))</f>
        <v>4</v>
      </c>
      <c r="U142" s="101" t="s">
        <v>463</v>
      </c>
      <c r="V142" s="101">
        <f>IF(Table1[[#This Row],[Low-cost office?]]="Yes",-4,0)</f>
        <v>0</v>
      </c>
      <c r="W142" s="106"/>
      <c r="X142" t="s">
        <v>479</v>
      </c>
    </row>
    <row r="143" spans="1:24" x14ac:dyDescent="0.55000000000000004">
      <c r="A143" t="s">
        <v>679</v>
      </c>
      <c r="B143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8.5</v>
      </c>
      <c r="C143" t="s">
        <v>469</v>
      </c>
      <c r="D143" s="94" t="s">
        <v>460</v>
      </c>
      <c r="E143" s="95" t="s">
        <v>470</v>
      </c>
      <c r="F143" s="95" t="s">
        <v>470</v>
      </c>
      <c r="G143" s="95" t="s">
        <v>470</v>
      </c>
      <c r="H143" s="95" t="s">
        <v>470</v>
      </c>
      <c r="I143" s="95" t="s">
        <v>470</v>
      </c>
      <c r="J143" s="105">
        <f>IF(Table1[[#This Row],[CIV]]="⮽",0,1)*1.5</f>
        <v>1.5</v>
      </c>
      <c r="K143" s="105">
        <f>IF(Table1[[#This Row],[ARC]]="⮽",0,1)*3</f>
        <v>0</v>
      </c>
      <c r="L143" s="105">
        <f>IF(Table1[[#This Row],[STR]]="⮽",0,1)*2</f>
        <v>0</v>
      </c>
      <c r="M143" s="105">
        <f>IF(Table1[[#This Row],[MP]]="⮽",0,1)</f>
        <v>0</v>
      </c>
      <c r="N143" s="105">
        <f>IF(Table1[[#This Row],[ELE]]="⮽",0,1)</f>
        <v>0</v>
      </c>
      <c r="O143" s="105">
        <f>IF(Table1[[#This Row],[FP]]="⮽",0,1)</f>
        <v>0</v>
      </c>
      <c r="P143">
        <v>1</v>
      </c>
      <c r="Q143" t="s">
        <v>472</v>
      </c>
      <c r="R143">
        <f>IF(Table1[[#This Row],[Size (S, M, L)]]="S",2,IF(Table1[[#This Row],[Size (S, M, L)]]="L",1,4))</f>
        <v>1</v>
      </c>
      <c r="S143" t="s">
        <v>465</v>
      </c>
      <c r="T143">
        <f>IF(Table1[[#This Row],[TZone]]="EST",4,IF(Table1[[#This Row],[TZone]]="CST",3,IF(Table1[[#This Row],[TZone]]="MST",2,1)))</f>
        <v>4</v>
      </c>
      <c r="U143" t="s">
        <v>463</v>
      </c>
      <c r="V143">
        <f>IF(Table1[[#This Row],[Low-cost office?]]="Yes",-4,0)</f>
        <v>0</v>
      </c>
      <c r="X143" t="s">
        <v>463</v>
      </c>
    </row>
    <row r="144" spans="1:24" x14ac:dyDescent="0.55000000000000004">
      <c r="A144" t="s">
        <v>575</v>
      </c>
      <c r="B14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4" s="101" t="s">
        <v>469</v>
      </c>
      <c r="D144" s="99" t="s">
        <v>460</v>
      </c>
      <c r="E144" s="99" t="s">
        <v>470</v>
      </c>
      <c r="F144" s="99" t="s">
        <v>470</v>
      </c>
      <c r="G144" s="99" t="s">
        <v>470</v>
      </c>
      <c r="H144" s="99" t="s">
        <v>470</v>
      </c>
      <c r="I144" s="99" t="s">
        <v>470</v>
      </c>
      <c r="J144" s="99">
        <f>IF(Table1[[#This Row],[CIV]]="⮽",0,1)*1.5</f>
        <v>0</v>
      </c>
      <c r="K144" s="99">
        <f>IF(Table1[[#This Row],[ARC]]="⮽",0,1)*3</f>
        <v>3</v>
      </c>
      <c r="L144" s="99">
        <f>IF(Table1[[#This Row],[STR]]="⮽",0,1)*2</f>
        <v>0</v>
      </c>
      <c r="M144" s="99">
        <f>IF(Table1[[#This Row],[MP]]="⮽",0,1)</f>
        <v>0</v>
      </c>
      <c r="N144" s="99">
        <f>IF(Table1[[#This Row],[ELE]]="⮽",0,1)</f>
        <v>0</v>
      </c>
      <c r="O144" s="99">
        <f>IF(Table1[[#This Row],[FP]]="⮽",0,1)</f>
        <v>0</v>
      </c>
      <c r="P144" s="101">
        <v>2</v>
      </c>
      <c r="Q144" s="101" t="s">
        <v>472</v>
      </c>
      <c r="R144" s="101">
        <f>IF(Table1[[#This Row],[Size (S, M, L)]]="S",2,IF(Table1[[#This Row],[Size (S, M, L)]]="L",1,4))</f>
        <v>2</v>
      </c>
      <c r="S144" s="101" t="s">
        <v>485</v>
      </c>
      <c r="T144" s="101">
        <f>IF(Table1[[#This Row],[TZone]]="EST",4,IF(Table1[[#This Row],[TZone]]="CST",3,IF(Table1[[#This Row],[TZone]]="MST",2,1)))</f>
        <v>1</v>
      </c>
      <c r="U144" s="101" t="s">
        <v>463</v>
      </c>
      <c r="V144" s="101">
        <f>IF(Table1[[#This Row],[Low-cost office?]]="Yes",-4,0)</f>
        <v>0</v>
      </c>
      <c r="W144" s="106"/>
      <c r="X144" t="s">
        <v>479</v>
      </c>
    </row>
    <row r="145" spans="1:24" x14ac:dyDescent="0.55000000000000004">
      <c r="A145" t="s">
        <v>680</v>
      </c>
      <c r="B145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5" t="s">
        <v>469</v>
      </c>
      <c r="D145" s="94" t="s">
        <v>460</v>
      </c>
      <c r="E145" s="95" t="s">
        <v>470</v>
      </c>
      <c r="F145" s="95" t="s">
        <v>470</v>
      </c>
      <c r="G145" s="95" t="s">
        <v>470</v>
      </c>
      <c r="H145" s="95" t="s">
        <v>470</v>
      </c>
      <c r="I145" s="95" t="s">
        <v>470</v>
      </c>
      <c r="J145" s="95">
        <f>IF(Table1[[#This Row],[CIV]]="⮽",0,1)*1.5</f>
        <v>0</v>
      </c>
      <c r="K145" s="95">
        <f>IF(Table1[[#This Row],[ARC]]="⮽",0,1)*3</f>
        <v>0</v>
      </c>
      <c r="L145" s="95">
        <f>IF(Table1[[#This Row],[STR]]="⮽",0,1)*2</f>
        <v>0</v>
      </c>
      <c r="M145" s="95">
        <f>IF(Table1[[#This Row],[MP]]="⮽",0,1)</f>
        <v>0</v>
      </c>
      <c r="N145" s="95">
        <f>IF(Table1[[#This Row],[ELE]]="⮽",0,1)</f>
        <v>0</v>
      </c>
      <c r="O145" s="95">
        <f>IF(Table1[[#This Row],[FP]]="⮽",0,1)</f>
        <v>0</v>
      </c>
      <c r="P145">
        <v>1</v>
      </c>
      <c r="Q145" t="s">
        <v>472</v>
      </c>
      <c r="R145">
        <f>IF(Table1[[#This Row],[Size (S, M, L)]]="S",2,IF(Table1[[#This Row],[Size (S, M, L)]]="L",1,4))</f>
        <v>2</v>
      </c>
      <c r="S145" t="s">
        <v>465</v>
      </c>
      <c r="T145">
        <f>IF(Table1[[#This Row],[TZone]]="EST",4,IF(Table1[[#This Row],[TZone]]="CST",3,IF(Table1[[#This Row],[TZone]]="MST",2,1)))</f>
        <v>4</v>
      </c>
      <c r="U145" t="s">
        <v>463</v>
      </c>
      <c r="V145">
        <f>IF(Table1[[#This Row],[Low-cost office?]]="Yes",-4,0)</f>
        <v>0</v>
      </c>
      <c r="X145" t="s">
        <v>479</v>
      </c>
    </row>
    <row r="146" spans="1:24" x14ac:dyDescent="0.55000000000000004">
      <c r="A146" t="s">
        <v>581</v>
      </c>
      <c r="B14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6" s="101" t="s">
        <v>469</v>
      </c>
      <c r="D146" s="98" t="s">
        <v>460</v>
      </c>
      <c r="E146" s="107" t="s">
        <v>470</v>
      </c>
      <c r="F146" s="107" t="s">
        <v>470</v>
      </c>
      <c r="G146" s="107" t="s">
        <v>470</v>
      </c>
      <c r="H146" s="107" t="s">
        <v>470</v>
      </c>
      <c r="I146" s="107" t="s">
        <v>470</v>
      </c>
      <c r="J146" s="107">
        <f>IF(Table1[[#This Row],[CIV]]="⮽",0,1)*1.5</f>
        <v>0</v>
      </c>
      <c r="K146" s="107">
        <f>IF(Table1[[#This Row],[ARC]]="⮽",0,1)*3</f>
        <v>0</v>
      </c>
      <c r="L146" s="107">
        <f>IF(Table1[[#This Row],[STR]]="⮽",0,1)*2</f>
        <v>0</v>
      </c>
      <c r="M146" s="107">
        <f>IF(Table1[[#This Row],[MP]]="⮽",0,1)</f>
        <v>0</v>
      </c>
      <c r="N146" s="107">
        <f>IF(Table1[[#This Row],[ELE]]="⮽",0,1)</f>
        <v>0</v>
      </c>
      <c r="O146" s="107">
        <f>IF(Table1[[#This Row],[FP]]="⮽",0,1)</f>
        <v>1</v>
      </c>
      <c r="P146" s="101">
        <v>1</v>
      </c>
      <c r="Q146" s="101" t="s">
        <v>475</v>
      </c>
      <c r="R146" s="101">
        <f>IF(Table1[[#This Row],[Size (S, M, L)]]="S",2,IF(Table1[[#This Row],[Size (S, M, L)]]="L",1,4))</f>
        <v>2</v>
      </c>
      <c r="S146" s="101" t="s">
        <v>462</v>
      </c>
      <c r="T146" s="101">
        <f>IF(Table1[[#This Row],[TZone]]="EST",4,IF(Table1[[#This Row],[TZone]]="CST",3,IF(Table1[[#This Row],[TZone]]="MST",2,1)))</f>
        <v>3</v>
      </c>
      <c r="U146" s="101" t="s">
        <v>463</v>
      </c>
      <c r="V146" s="101">
        <f>IF(Table1[[#This Row],[Low-cost office?]]="Yes",-4,0)</f>
        <v>0</v>
      </c>
      <c r="W146" s="106"/>
      <c r="X146" t="s">
        <v>479</v>
      </c>
    </row>
    <row r="147" spans="1:24" x14ac:dyDescent="0.55000000000000004">
      <c r="A147" t="s">
        <v>582</v>
      </c>
      <c r="B14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7" s="101" t="s">
        <v>469</v>
      </c>
      <c r="D147" s="98" t="s">
        <v>460</v>
      </c>
      <c r="E147" s="107" t="s">
        <v>470</v>
      </c>
      <c r="F147" s="107" t="s">
        <v>470</v>
      </c>
      <c r="G147" s="107" t="s">
        <v>470</v>
      </c>
      <c r="H147" s="107" t="s">
        <v>470</v>
      </c>
      <c r="I147" s="107" t="s">
        <v>470</v>
      </c>
      <c r="J147" s="107">
        <f>IF(Table1[[#This Row],[CIV]]="⮽",0,1)*1.5</f>
        <v>0</v>
      </c>
      <c r="K147" s="107">
        <f>IF(Table1[[#This Row],[ARC]]="⮽",0,1)*3</f>
        <v>3</v>
      </c>
      <c r="L147" s="107">
        <f>IF(Table1[[#This Row],[STR]]="⮽",0,1)*2</f>
        <v>0</v>
      </c>
      <c r="M147" s="107">
        <f>IF(Table1[[#This Row],[MP]]="⮽",0,1)</f>
        <v>0</v>
      </c>
      <c r="N147" s="107">
        <f>IF(Table1[[#This Row],[ELE]]="⮽",0,1)</f>
        <v>0</v>
      </c>
      <c r="O147" s="107">
        <f>IF(Table1[[#This Row],[FP]]="⮽",0,1)</f>
        <v>0</v>
      </c>
      <c r="P147" s="101">
        <v>1</v>
      </c>
      <c r="Q147" s="101" t="s">
        <v>475</v>
      </c>
      <c r="R147" s="101">
        <f>IF(Table1[[#This Row],[Size (S, M, L)]]="S",2,IF(Table1[[#This Row],[Size (S, M, L)]]="L",1,4))</f>
        <v>1</v>
      </c>
      <c r="S147" s="101" t="s">
        <v>462</v>
      </c>
      <c r="T147" s="101">
        <f>IF(Table1[[#This Row],[TZone]]="EST",4,IF(Table1[[#This Row],[TZone]]="CST",3,IF(Table1[[#This Row],[TZone]]="MST",2,1)))</f>
        <v>4</v>
      </c>
      <c r="U147" s="101" t="s">
        <v>463</v>
      </c>
      <c r="V147" s="101">
        <f>IF(Table1[[#This Row],[Low-cost office?]]="Yes",-4,0)</f>
        <v>-4</v>
      </c>
      <c r="W147" s="106"/>
      <c r="X147" t="s">
        <v>479</v>
      </c>
    </row>
    <row r="148" spans="1:24" x14ac:dyDescent="0.55000000000000004">
      <c r="A148" t="s">
        <v>681</v>
      </c>
      <c r="B148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8" t="s">
        <v>469</v>
      </c>
      <c r="D148" s="95" t="s">
        <v>470</v>
      </c>
      <c r="E148" s="95" t="s">
        <v>470</v>
      </c>
      <c r="F148" s="95" t="s">
        <v>470</v>
      </c>
      <c r="G148" s="95" t="s">
        <v>470</v>
      </c>
      <c r="H148" s="95" t="s">
        <v>470</v>
      </c>
      <c r="I148" s="95" t="s">
        <v>470</v>
      </c>
      <c r="J148" s="95">
        <f>IF(Table1[[#This Row],[CIV]]="⮽",0,1)*1.5</f>
        <v>0</v>
      </c>
      <c r="K148" s="95">
        <f>IF(Table1[[#This Row],[ARC]]="⮽",0,1)*3</f>
        <v>0</v>
      </c>
      <c r="L148" s="95">
        <f>IF(Table1[[#This Row],[STR]]="⮽",0,1)*2</f>
        <v>2</v>
      </c>
      <c r="M148" s="95">
        <f>IF(Table1[[#This Row],[MP]]="⮽",0,1)</f>
        <v>0</v>
      </c>
      <c r="N148" s="95">
        <f>IF(Table1[[#This Row],[ELE]]="⮽",0,1)</f>
        <v>0</v>
      </c>
      <c r="O148" s="95">
        <f>IF(Table1[[#This Row],[FP]]="⮽",0,1)</f>
        <v>0</v>
      </c>
      <c r="P148">
        <v>1</v>
      </c>
      <c r="Q148" t="s">
        <v>472</v>
      </c>
      <c r="R148">
        <f>IF(Table1[[#This Row],[Size (S, M, L)]]="S",2,IF(Table1[[#This Row],[Size (S, M, L)]]="L",1,4))</f>
        <v>2</v>
      </c>
      <c r="S148" t="s">
        <v>462</v>
      </c>
      <c r="T148">
        <f>IF(Table1[[#This Row],[TZone]]="EST",4,IF(Table1[[#This Row],[TZone]]="CST",3,IF(Table1[[#This Row],[TZone]]="MST",2,1)))</f>
        <v>2</v>
      </c>
      <c r="U148" t="s">
        <v>463</v>
      </c>
      <c r="V148">
        <f>IF(Table1[[#This Row],[Low-cost office?]]="Yes",-4,0)</f>
        <v>0</v>
      </c>
      <c r="X148" t="s">
        <v>463</v>
      </c>
    </row>
    <row r="149" spans="1:24" x14ac:dyDescent="0.55000000000000004">
      <c r="A149" t="s">
        <v>583</v>
      </c>
      <c r="B149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49" t="s">
        <v>469</v>
      </c>
      <c r="D149" s="95" t="s">
        <v>470</v>
      </c>
      <c r="E149" s="94" t="s">
        <v>460</v>
      </c>
      <c r="F149" s="95" t="s">
        <v>470</v>
      </c>
      <c r="G149" s="95" t="s">
        <v>470</v>
      </c>
      <c r="H149" s="95" t="s">
        <v>470</v>
      </c>
      <c r="I149" s="95" t="s">
        <v>470</v>
      </c>
      <c r="J149" s="95">
        <f>IF(Table1[[#This Row],[CIV]]="⮽",0,1)*1.5</f>
        <v>0</v>
      </c>
      <c r="K149" s="95">
        <f>IF(Table1[[#This Row],[ARC]]="⮽",0,1)*3</f>
        <v>0</v>
      </c>
      <c r="L149" s="95">
        <f>IF(Table1[[#This Row],[STR]]="⮽",0,1)*2</f>
        <v>0</v>
      </c>
      <c r="M149" s="95">
        <f>IF(Table1[[#This Row],[MP]]="⮽",0,1)</f>
        <v>0</v>
      </c>
      <c r="N149" s="95">
        <f>IF(Table1[[#This Row],[ELE]]="⮽",0,1)</f>
        <v>0</v>
      </c>
      <c r="O149" s="95">
        <f>IF(Table1[[#This Row],[FP]]="⮽",0,1)</f>
        <v>0</v>
      </c>
      <c r="P149">
        <v>1</v>
      </c>
      <c r="Q149" t="s">
        <v>472</v>
      </c>
      <c r="R149">
        <f>IF(Table1[[#This Row],[Size (S, M, L)]]="S",2,IF(Table1[[#This Row],[Size (S, M, L)]]="L",1,4))</f>
        <v>2</v>
      </c>
      <c r="S149" t="s">
        <v>485</v>
      </c>
      <c r="T149">
        <f>IF(Table1[[#This Row],[TZone]]="EST",4,IF(Table1[[#This Row],[TZone]]="CST",3,IF(Table1[[#This Row],[TZone]]="MST",2,1)))</f>
        <v>4</v>
      </c>
      <c r="U149" t="s">
        <v>463</v>
      </c>
      <c r="V149">
        <f>IF(Table1[[#This Row],[Low-cost office?]]="Yes",-4,0)</f>
        <v>0</v>
      </c>
      <c r="X149" t="s">
        <v>479</v>
      </c>
    </row>
    <row r="150" spans="1:24" x14ac:dyDescent="0.55000000000000004">
      <c r="A150" t="s">
        <v>682</v>
      </c>
      <c r="B150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0" t="s">
        <v>469</v>
      </c>
      <c r="D150" s="95" t="s">
        <v>470</v>
      </c>
      <c r="E150" s="95" t="s">
        <v>470</v>
      </c>
      <c r="F150" s="95" t="s">
        <v>470</v>
      </c>
      <c r="G150" s="95" t="s">
        <v>470</v>
      </c>
      <c r="H150" s="95" t="s">
        <v>470</v>
      </c>
      <c r="I150" s="95" t="s">
        <v>460</v>
      </c>
      <c r="J150" s="95">
        <f>IF(Table1[[#This Row],[CIV]]="⮽",0,1)*1.5</f>
        <v>0</v>
      </c>
      <c r="K150" s="95">
        <f>IF(Table1[[#This Row],[ARC]]="⮽",0,1)*3</f>
        <v>3</v>
      </c>
      <c r="L150" s="95">
        <f>IF(Table1[[#This Row],[STR]]="⮽",0,1)*2</f>
        <v>0</v>
      </c>
      <c r="M150" s="95">
        <f>IF(Table1[[#This Row],[MP]]="⮽",0,1)</f>
        <v>0</v>
      </c>
      <c r="N150" s="95">
        <f>IF(Table1[[#This Row],[ELE]]="⮽",0,1)</f>
        <v>0</v>
      </c>
      <c r="O150" s="95">
        <f>IF(Table1[[#This Row],[FP]]="⮽",0,1)</f>
        <v>0</v>
      </c>
      <c r="P150">
        <v>1</v>
      </c>
      <c r="Q150" t="s">
        <v>472</v>
      </c>
      <c r="R150">
        <f>IF(Table1[[#This Row],[Size (S, M, L)]]="S",2,IF(Table1[[#This Row],[Size (S, M, L)]]="L",1,4))</f>
        <v>2</v>
      </c>
      <c r="S150" t="s">
        <v>465</v>
      </c>
      <c r="T150">
        <f>IF(Table1[[#This Row],[TZone]]="EST",4,IF(Table1[[#This Row],[TZone]]="CST",3,IF(Table1[[#This Row],[TZone]]="MST",2,1)))</f>
        <v>1</v>
      </c>
      <c r="U150" t="s">
        <v>463</v>
      </c>
      <c r="V150">
        <f>IF(Table1[[#This Row],[Low-cost office?]]="Yes",-4,0)</f>
        <v>0</v>
      </c>
      <c r="X150" t="s">
        <v>479</v>
      </c>
    </row>
    <row r="151" spans="1:24" x14ac:dyDescent="0.55000000000000004">
      <c r="A151" t="s">
        <v>427</v>
      </c>
      <c r="B15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1" t="s">
        <v>469</v>
      </c>
      <c r="D151" s="94" t="s">
        <v>470</v>
      </c>
      <c r="E151" s="95" t="s">
        <v>460</v>
      </c>
      <c r="F151" s="94" t="s">
        <v>470</v>
      </c>
      <c r="G151" s="94" t="s">
        <v>470</v>
      </c>
      <c r="H151" s="94" t="s">
        <v>470</v>
      </c>
      <c r="I151" s="94" t="s">
        <v>470</v>
      </c>
      <c r="J151" s="94">
        <f>IF(Table1[[#This Row],[CIV]]="⮽",0,1)*1.5</f>
        <v>0</v>
      </c>
      <c r="K151" s="94">
        <f>IF(Table1[[#This Row],[ARC]]="⮽",0,1)*3</f>
        <v>3</v>
      </c>
      <c r="L151" s="94">
        <f>IF(Table1[[#This Row],[STR]]="⮽",0,1)*2</f>
        <v>0</v>
      </c>
      <c r="M151" s="94">
        <f>IF(Table1[[#This Row],[MP]]="⮽",0,1)</f>
        <v>0</v>
      </c>
      <c r="N151" s="94">
        <f>IF(Table1[[#This Row],[ELE]]="⮽",0,1)</f>
        <v>0</v>
      </c>
      <c r="O151" s="94">
        <f>IF(Table1[[#This Row],[FP]]="⮽",0,1)</f>
        <v>0</v>
      </c>
      <c r="P151">
        <v>2</v>
      </c>
      <c r="Q151" t="s">
        <v>475</v>
      </c>
      <c r="R151">
        <f>IF(Table1[[#This Row],[Size (S, M, L)]]="S",2,IF(Table1[[#This Row],[Size (S, M, L)]]="L",1,4))</f>
        <v>2</v>
      </c>
      <c r="S151" t="s">
        <v>462</v>
      </c>
      <c r="T151">
        <f>IF(Table1[[#This Row],[TZone]]="EST",4,IF(Table1[[#This Row],[TZone]]="CST",3,IF(Table1[[#This Row],[TZone]]="MST",2,1)))</f>
        <v>1</v>
      </c>
      <c r="U151" t="s">
        <v>479</v>
      </c>
      <c r="V151">
        <f>IF(Table1[[#This Row],[Low-cost office?]]="Yes",-4,0)</f>
        <v>0</v>
      </c>
      <c r="X151" t="s">
        <v>479</v>
      </c>
    </row>
    <row r="152" spans="1:24" x14ac:dyDescent="0.55000000000000004">
      <c r="A152" t="s">
        <v>586</v>
      </c>
      <c r="B15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2" s="101" t="s">
        <v>469</v>
      </c>
      <c r="D152" s="99" t="s">
        <v>470</v>
      </c>
      <c r="E152" s="99" t="s">
        <v>470</v>
      </c>
      <c r="F152" s="99" t="s">
        <v>460</v>
      </c>
      <c r="G152" s="99" t="s">
        <v>470</v>
      </c>
      <c r="H152" s="99" t="s">
        <v>470</v>
      </c>
      <c r="I152" s="99" t="s">
        <v>470</v>
      </c>
      <c r="J152" s="99">
        <f>IF(Table1[[#This Row],[CIV]]="⮽",0,1)*1.5</f>
        <v>0</v>
      </c>
      <c r="K152" s="99">
        <f>IF(Table1[[#This Row],[ARC]]="⮽",0,1)*3</f>
        <v>3</v>
      </c>
      <c r="L152" s="99">
        <f>IF(Table1[[#This Row],[STR]]="⮽",0,1)*2</f>
        <v>0</v>
      </c>
      <c r="M152" s="99">
        <f>IF(Table1[[#This Row],[MP]]="⮽",0,1)</f>
        <v>0</v>
      </c>
      <c r="N152" s="99">
        <f>IF(Table1[[#This Row],[ELE]]="⮽",0,1)</f>
        <v>0</v>
      </c>
      <c r="O152" s="99">
        <f>IF(Table1[[#This Row],[FP]]="⮽",0,1)</f>
        <v>0</v>
      </c>
      <c r="P152" s="101">
        <v>1</v>
      </c>
      <c r="Q152" s="101" t="s">
        <v>472</v>
      </c>
      <c r="R152" s="101">
        <f>IF(Table1[[#This Row],[Size (S, M, L)]]="S",2,IF(Table1[[#This Row],[Size (S, M, L)]]="L",1,4))</f>
        <v>2</v>
      </c>
      <c r="S152" s="101" t="s">
        <v>473</v>
      </c>
      <c r="T152" s="101">
        <f>IF(Table1[[#This Row],[TZone]]="EST",4,IF(Table1[[#This Row],[TZone]]="CST",3,IF(Table1[[#This Row],[TZone]]="MST",2,1)))</f>
        <v>1</v>
      </c>
      <c r="U152" s="101" t="s">
        <v>463</v>
      </c>
      <c r="V152" s="101">
        <f>IF(Table1[[#This Row],[Low-cost office?]]="Yes",-4,0)</f>
        <v>0</v>
      </c>
      <c r="W152" s="106"/>
      <c r="X152" t="s">
        <v>479</v>
      </c>
    </row>
    <row r="153" spans="1:24" x14ac:dyDescent="0.55000000000000004">
      <c r="A153" t="s">
        <v>588</v>
      </c>
      <c r="B153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3" t="s">
        <v>469</v>
      </c>
      <c r="D153" s="95" t="s">
        <v>470</v>
      </c>
      <c r="E153" s="94" t="s">
        <v>460</v>
      </c>
      <c r="F153" s="95" t="s">
        <v>470</v>
      </c>
      <c r="G153" s="95" t="s">
        <v>470</v>
      </c>
      <c r="H153" s="95" t="s">
        <v>470</v>
      </c>
      <c r="I153" s="95" t="s">
        <v>470</v>
      </c>
      <c r="J153" s="95">
        <f>IF(Table1[[#This Row],[CIV]]="⮽",0,1)*1.5</f>
        <v>0</v>
      </c>
      <c r="K153" s="95">
        <f>IF(Table1[[#This Row],[ARC]]="⮽",0,1)*3</f>
        <v>0</v>
      </c>
      <c r="L153" s="95">
        <f>IF(Table1[[#This Row],[STR]]="⮽",0,1)*2</f>
        <v>0</v>
      </c>
      <c r="M153" s="95">
        <f>IF(Table1[[#This Row],[MP]]="⮽",0,1)</f>
        <v>1</v>
      </c>
      <c r="N153" s="95">
        <f>IF(Table1[[#This Row],[ELE]]="⮽",0,1)</f>
        <v>1</v>
      </c>
      <c r="O153" s="95">
        <f>IF(Table1[[#This Row],[FP]]="⮽",0,1)</f>
        <v>1</v>
      </c>
      <c r="P153">
        <v>1</v>
      </c>
      <c r="Q153" t="s">
        <v>472</v>
      </c>
      <c r="R153">
        <f>IF(Table1[[#This Row],[Size (S, M, L)]]="S",2,IF(Table1[[#This Row],[Size (S, M, L)]]="L",1,4))</f>
        <v>2</v>
      </c>
      <c r="S153" t="s">
        <v>485</v>
      </c>
      <c r="T153">
        <f>IF(Table1[[#This Row],[TZone]]="EST",4,IF(Table1[[#This Row],[TZone]]="CST",3,IF(Table1[[#This Row],[TZone]]="MST",2,1)))</f>
        <v>3</v>
      </c>
      <c r="U153" t="s">
        <v>463</v>
      </c>
      <c r="V153">
        <f>IF(Table1[[#This Row],[Low-cost office?]]="Yes",-4,0)</f>
        <v>-4</v>
      </c>
      <c r="X153" t="s">
        <v>479</v>
      </c>
    </row>
    <row r="154" spans="1:24" x14ac:dyDescent="0.55000000000000004">
      <c r="A154" t="s">
        <v>683</v>
      </c>
      <c r="B15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4" s="101" t="s">
        <v>469</v>
      </c>
      <c r="D154" s="99" t="s">
        <v>470</v>
      </c>
      <c r="E154" s="98" t="s">
        <v>460</v>
      </c>
      <c r="F154" s="99" t="s">
        <v>470</v>
      </c>
      <c r="G154" s="99" t="s">
        <v>470</v>
      </c>
      <c r="H154" s="99" t="s">
        <v>470</v>
      </c>
      <c r="I154" s="99" t="s">
        <v>470</v>
      </c>
      <c r="J154" s="99">
        <f>IF(Table1[[#This Row],[CIV]]="⮽",0,1)*1.5</f>
        <v>0</v>
      </c>
      <c r="K154" s="99">
        <f>IF(Table1[[#This Row],[ARC]]="⮽",0,1)*3</f>
        <v>3</v>
      </c>
      <c r="L154" s="99">
        <f>IF(Table1[[#This Row],[STR]]="⮽",0,1)*2</f>
        <v>0</v>
      </c>
      <c r="M154" s="99">
        <f>IF(Table1[[#This Row],[MP]]="⮽",0,1)</f>
        <v>0</v>
      </c>
      <c r="N154" s="99">
        <f>IF(Table1[[#This Row],[ELE]]="⮽",0,1)</f>
        <v>0</v>
      </c>
      <c r="O154" s="99">
        <f>IF(Table1[[#This Row],[FP]]="⮽",0,1)</f>
        <v>0</v>
      </c>
      <c r="P154" s="101">
        <v>1</v>
      </c>
      <c r="Q154" s="101" t="s">
        <v>472</v>
      </c>
      <c r="R154" s="101">
        <f>IF(Table1[[#This Row],[Size (S, M, L)]]="S",2,IF(Table1[[#This Row],[Size (S, M, L)]]="L",1,4))</f>
        <v>2</v>
      </c>
      <c r="S154" s="101" t="s">
        <v>485</v>
      </c>
      <c r="T154" s="101">
        <f>IF(Table1[[#This Row],[TZone]]="EST",4,IF(Table1[[#This Row],[TZone]]="CST",3,IF(Table1[[#This Row],[TZone]]="MST",2,1)))</f>
        <v>1</v>
      </c>
      <c r="U154" s="101" t="s">
        <v>463</v>
      </c>
      <c r="V154" s="101">
        <f>IF(Table1[[#This Row],[Low-cost office?]]="Yes",-4,0)</f>
        <v>0</v>
      </c>
      <c r="W154" s="106"/>
      <c r="X154" t="s">
        <v>479</v>
      </c>
    </row>
    <row r="155" spans="1:24" x14ac:dyDescent="0.55000000000000004">
      <c r="A155" t="s">
        <v>592</v>
      </c>
      <c r="B15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5" s="101" t="s">
        <v>469</v>
      </c>
      <c r="D155" s="99" t="s">
        <v>470</v>
      </c>
      <c r="E155" s="98" t="s">
        <v>460</v>
      </c>
      <c r="F155" s="99" t="s">
        <v>470</v>
      </c>
      <c r="G155" s="99" t="s">
        <v>470</v>
      </c>
      <c r="H155" s="99" t="s">
        <v>470</v>
      </c>
      <c r="I155" s="99" t="s">
        <v>470</v>
      </c>
      <c r="J155" s="99">
        <f>IF(Table1[[#This Row],[CIV]]="⮽",0,1)*1.5</f>
        <v>0</v>
      </c>
      <c r="K155" s="99">
        <f>IF(Table1[[#This Row],[ARC]]="⮽",0,1)*3</f>
        <v>3</v>
      </c>
      <c r="L155" s="99">
        <f>IF(Table1[[#This Row],[STR]]="⮽",0,1)*2</f>
        <v>0</v>
      </c>
      <c r="M155" s="99">
        <f>IF(Table1[[#This Row],[MP]]="⮽",0,1)</f>
        <v>1</v>
      </c>
      <c r="N155" s="99">
        <f>IF(Table1[[#This Row],[ELE]]="⮽",0,1)</f>
        <v>1</v>
      </c>
      <c r="O155" s="99">
        <f>IF(Table1[[#This Row],[FP]]="⮽",0,1)</f>
        <v>0</v>
      </c>
      <c r="P155" s="101">
        <v>1</v>
      </c>
      <c r="Q155" s="101" t="s">
        <v>472</v>
      </c>
      <c r="R155" s="101">
        <f>IF(Table1[[#This Row],[Size (S, M, L)]]="S",2,IF(Table1[[#This Row],[Size (S, M, L)]]="L",1,4))</f>
        <v>2</v>
      </c>
      <c r="S155" s="101" t="s">
        <v>485</v>
      </c>
      <c r="T155" s="101">
        <f>IF(Table1[[#This Row],[TZone]]="EST",4,IF(Table1[[#This Row],[TZone]]="CST",3,IF(Table1[[#This Row],[TZone]]="MST",2,1)))</f>
        <v>1</v>
      </c>
      <c r="U155" s="101" t="s">
        <v>463</v>
      </c>
      <c r="V155" s="101">
        <f>IF(Table1[[#This Row],[Low-cost office?]]="Yes",-4,0)</f>
        <v>-4</v>
      </c>
      <c r="W155" s="106"/>
      <c r="X155" t="s">
        <v>479</v>
      </c>
    </row>
    <row r="156" spans="1:24" x14ac:dyDescent="0.55000000000000004">
      <c r="A156" t="s">
        <v>594</v>
      </c>
      <c r="B156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6" s="101" t="s">
        <v>469</v>
      </c>
      <c r="D156" s="107" t="s">
        <v>470</v>
      </c>
      <c r="E156" s="98" t="s">
        <v>460</v>
      </c>
      <c r="F156" s="107" t="s">
        <v>470</v>
      </c>
      <c r="G156" s="107" t="s">
        <v>470</v>
      </c>
      <c r="H156" s="107" t="s">
        <v>470</v>
      </c>
      <c r="I156" s="107" t="s">
        <v>470</v>
      </c>
      <c r="J156" s="107">
        <f>IF(Table1[[#This Row],[CIV]]="⮽",0,1)*1.5</f>
        <v>0</v>
      </c>
      <c r="K156" s="107">
        <f>IF(Table1[[#This Row],[ARC]]="⮽",0,1)*3</f>
        <v>3</v>
      </c>
      <c r="L156" s="107">
        <f>IF(Table1[[#This Row],[STR]]="⮽",0,1)*2</f>
        <v>0</v>
      </c>
      <c r="M156" s="107">
        <f>IF(Table1[[#This Row],[MP]]="⮽",0,1)</f>
        <v>0</v>
      </c>
      <c r="N156" s="107">
        <f>IF(Table1[[#This Row],[ELE]]="⮽",0,1)</f>
        <v>0</v>
      </c>
      <c r="O156" s="107">
        <f>IF(Table1[[#This Row],[FP]]="⮽",0,1)</f>
        <v>0</v>
      </c>
      <c r="P156" s="101">
        <v>1</v>
      </c>
      <c r="Q156" s="101" t="s">
        <v>472</v>
      </c>
      <c r="R156" s="101">
        <f>IF(Table1[[#This Row],[Size (S, M, L)]]="S",2,IF(Table1[[#This Row],[Size (S, M, L)]]="L",1,4))</f>
        <v>2</v>
      </c>
      <c r="S156" s="101" t="s">
        <v>485</v>
      </c>
      <c r="T156" s="101">
        <f>IF(Table1[[#This Row],[TZone]]="EST",4,IF(Table1[[#This Row],[TZone]]="CST",3,IF(Table1[[#This Row],[TZone]]="MST",2,1)))</f>
        <v>1</v>
      </c>
      <c r="U156" s="101" t="s">
        <v>463</v>
      </c>
      <c r="V156" s="101">
        <f>IF(Table1[[#This Row],[Low-cost office?]]="Yes",-4,0)</f>
        <v>0</v>
      </c>
      <c r="W156" s="106"/>
      <c r="X156" t="s">
        <v>479</v>
      </c>
    </row>
    <row r="157" spans="1:24" x14ac:dyDescent="0.55000000000000004">
      <c r="A157" t="s">
        <v>595</v>
      </c>
      <c r="B157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7" s="101" t="s">
        <v>469</v>
      </c>
      <c r="D157" s="107" t="s">
        <v>470</v>
      </c>
      <c r="E157" s="98" t="s">
        <v>460</v>
      </c>
      <c r="F157" s="107" t="s">
        <v>470</v>
      </c>
      <c r="G157" s="107" t="s">
        <v>470</v>
      </c>
      <c r="H157" s="107" t="s">
        <v>470</v>
      </c>
      <c r="I157" s="107" t="s">
        <v>470</v>
      </c>
      <c r="J157" s="107">
        <f>IF(Table1[[#This Row],[CIV]]="⮽",0,1)*1.5</f>
        <v>0</v>
      </c>
      <c r="K157" s="107">
        <f>IF(Table1[[#This Row],[ARC]]="⮽",0,1)*3</f>
        <v>3</v>
      </c>
      <c r="L157" s="107">
        <f>IF(Table1[[#This Row],[STR]]="⮽",0,1)*2</f>
        <v>0</v>
      </c>
      <c r="M157" s="107">
        <f>IF(Table1[[#This Row],[MP]]="⮽",0,1)</f>
        <v>0</v>
      </c>
      <c r="N157" s="107">
        <f>IF(Table1[[#This Row],[ELE]]="⮽",0,1)</f>
        <v>0</v>
      </c>
      <c r="O157" s="107">
        <f>IF(Table1[[#This Row],[FP]]="⮽",0,1)</f>
        <v>0</v>
      </c>
      <c r="P157" s="101">
        <v>1</v>
      </c>
      <c r="Q157" s="101" t="s">
        <v>472</v>
      </c>
      <c r="R157" s="101">
        <f>IF(Table1[[#This Row],[Size (S, M, L)]]="S",2,IF(Table1[[#This Row],[Size (S, M, L)]]="L",1,4))</f>
        <v>2</v>
      </c>
      <c r="S157" s="101" t="s">
        <v>485</v>
      </c>
      <c r="T157" s="101">
        <f>IF(Table1[[#This Row],[TZone]]="EST",4,IF(Table1[[#This Row],[TZone]]="CST",3,IF(Table1[[#This Row],[TZone]]="MST",2,1)))</f>
        <v>1</v>
      </c>
      <c r="U157" s="101" t="s">
        <v>463</v>
      </c>
      <c r="V157" s="101">
        <f>IF(Table1[[#This Row],[Low-cost office?]]="Yes",-4,0)</f>
        <v>0</v>
      </c>
      <c r="W157" s="106"/>
      <c r="X157" t="s">
        <v>479</v>
      </c>
    </row>
    <row r="158" spans="1:24" x14ac:dyDescent="0.55000000000000004">
      <c r="A158" t="s">
        <v>597</v>
      </c>
      <c r="B158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8" s="101" t="s">
        <v>469</v>
      </c>
      <c r="D158" s="107" t="s">
        <v>470</v>
      </c>
      <c r="E158" s="98" t="s">
        <v>460</v>
      </c>
      <c r="F158" s="107" t="s">
        <v>470</v>
      </c>
      <c r="G158" s="107" t="s">
        <v>470</v>
      </c>
      <c r="H158" s="107" t="s">
        <v>470</v>
      </c>
      <c r="I158" s="107" t="s">
        <v>470</v>
      </c>
      <c r="J158" s="107">
        <f>IF(Table1[[#This Row],[CIV]]="⮽",0,1)*1.5</f>
        <v>0</v>
      </c>
      <c r="K158" s="107">
        <f>IF(Table1[[#This Row],[ARC]]="⮽",0,1)*3</f>
        <v>3</v>
      </c>
      <c r="L158" s="107">
        <f>IF(Table1[[#This Row],[STR]]="⮽",0,1)*2</f>
        <v>0</v>
      </c>
      <c r="M158" s="107">
        <f>IF(Table1[[#This Row],[MP]]="⮽",0,1)</f>
        <v>0</v>
      </c>
      <c r="N158" s="107">
        <f>IF(Table1[[#This Row],[ELE]]="⮽",0,1)</f>
        <v>0</v>
      </c>
      <c r="O158" s="107">
        <f>IF(Table1[[#This Row],[FP]]="⮽",0,1)</f>
        <v>0</v>
      </c>
      <c r="P158" s="101">
        <v>1</v>
      </c>
      <c r="Q158" s="101" t="s">
        <v>472</v>
      </c>
      <c r="R158" s="101">
        <f>IF(Table1[[#This Row],[Size (S, M, L)]]="S",2,IF(Table1[[#This Row],[Size (S, M, L)]]="L",1,4))</f>
        <v>2</v>
      </c>
      <c r="S158" s="101" t="s">
        <v>485</v>
      </c>
      <c r="T158" s="101">
        <f>IF(Table1[[#This Row],[TZone]]="EST",4,IF(Table1[[#This Row],[TZone]]="CST",3,IF(Table1[[#This Row],[TZone]]="MST",2,1)))</f>
        <v>1</v>
      </c>
      <c r="U158" s="101" t="s">
        <v>463</v>
      </c>
      <c r="V158" s="101">
        <f>IF(Table1[[#This Row],[Low-cost office?]]="Yes",-4,0)</f>
        <v>0</v>
      </c>
      <c r="W158" s="106"/>
      <c r="X158" t="s">
        <v>479</v>
      </c>
    </row>
    <row r="159" spans="1:24" x14ac:dyDescent="0.55000000000000004">
      <c r="A159" t="s">
        <v>598</v>
      </c>
      <c r="B159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8</v>
      </c>
      <c r="C159" s="101" t="s">
        <v>469</v>
      </c>
      <c r="D159" s="98" t="s">
        <v>460</v>
      </c>
      <c r="E159" s="107" t="s">
        <v>470</v>
      </c>
      <c r="F159" s="107" t="s">
        <v>470</v>
      </c>
      <c r="G159" s="107" t="s">
        <v>470</v>
      </c>
      <c r="H159" s="107" t="s">
        <v>470</v>
      </c>
      <c r="I159" s="107" t="s">
        <v>470</v>
      </c>
      <c r="J159" s="107">
        <f>IF(Table1[[#This Row],[CIV]]="⮽",0,1)*1.5</f>
        <v>0</v>
      </c>
      <c r="K159" s="107">
        <f>IF(Table1[[#This Row],[ARC]]="⮽",0,1)*3</f>
        <v>3</v>
      </c>
      <c r="L159" s="107">
        <f>IF(Table1[[#This Row],[STR]]="⮽",0,1)*2</f>
        <v>0</v>
      </c>
      <c r="M159" s="107">
        <f>IF(Table1[[#This Row],[MP]]="⮽",0,1)</f>
        <v>0</v>
      </c>
      <c r="N159" s="107">
        <f>IF(Table1[[#This Row],[ELE]]="⮽",0,1)</f>
        <v>0</v>
      </c>
      <c r="O159" s="107">
        <f>IF(Table1[[#This Row],[FP]]="⮽",0,1)</f>
        <v>0</v>
      </c>
      <c r="P159" s="101">
        <v>1</v>
      </c>
      <c r="Q159" s="101" t="s">
        <v>475</v>
      </c>
      <c r="R159" s="101">
        <f>IF(Table1[[#This Row],[Size (S, M, L)]]="S",2,IF(Table1[[#This Row],[Size (S, M, L)]]="L",1,4))</f>
        <v>2</v>
      </c>
      <c r="S159" s="101" t="s">
        <v>465</v>
      </c>
      <c r="T159" s="101">
        <f>IF(Table1[[#This Row],[TZone]]="EST",4,IF(Table1[[#This Row],[TZone]]="CST",3,IF(Table1[[#This Row],[TZone]]="MST",2,1)))</f>
        <v>1</v>
      </c>
      <c r="U159" s="101" t="s">
        <v>463</v>
      </c>
      <c r="V159" s="101">
        <f>IF(Table1[[#This Row],[Low-cost office?]]="Yes",-4,0)</f>
        <v>0</v>
      </c>
      <c r="W159" s="106"/>
      <c r="X159" t="s">
        <v>479</v>
      </c>
    </row>
    <row r="160" spans="1:24" x14ac:dyDescent="0.55000000000000004">
      <c r="A160" t="s">
        <v>684</v>
      </c>
      <c r="B160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7.5</v>
      </c>
      <c r="C160" s="101" t="s">
        <v>469</v>
      </c>
      <c r="D160" s="107" t="s">
        <v>470</v>
      </c>
      <c r="E160" s="107" t="s">
        <v>470</v>
      </c>
      <c r="F160" s="107" t="s">
        <v>470</v>
      </c>
      <c r="G160" s="107" t="s">
        <v>470</v>
      </c>
      <c r="H160" s="107" t="s">
        <v>470</v>
      </c>
      <c r="I160" s="107" t="s">
        <v>470</v>
      </c>
      <c r="J160" s="99">
        <f>IF(Table1[[#This Row],[CIV]]="⮽",0,1)*1.5</f>
        <v>1.5</v>
      </c>
      <c r="K160" s="99">
        <f>IF(Table1[[#This Row],[ARC]]="⮽",0,1)*3</f>
        <v>0</v>
      </c>
      <c r="L160" s="99">
        <f>IF(Table1[[#This Row],[STR]]="⮽",0,1)*2</f>
        <v>0</v>
      </c>
      <c r="M160" s="99">
        <f>IF(Table1[[#This Row],[MP]]="⮽",0,1)</f>
        <v>0</v>
      </c>
      <c r="N160" s="99">
        <f>IF(Table1[[#This Row],[ELE]]="⮽",0,1)</f>
        <v>0</v>
      </c>
      <c r="O160" s="99">
        <f>IF(Table1[[#This Row],[FP]]="⮽",0,1)</f>
        <v>0</v>
      </c>
      <c r="P160" s="101">
        <v>1</v>
      </c>
      <c r="Q160" s="101" t="s">
        <v>472</v>
      </c>
      <c r="R160" s="101">
        <f>IF(Table1[[#This Row],[Size (S, M, L)]]="S",2,IF(Table1[[#This Row],[Size (S, M, L)]]="L",1,4))</f>
        <v>1</v>
      </c>
      <c r="S160" s="101" t="s">
        <v>465</v>
      </c>
      <c r="T160" s="101">
        <f>IF(Table1[[#This Row],[TZone]]="EST",4,IF(Table1[[#This Row],[TZone]]="CST",3,IF(Table1[[#This Row],[TZone]]="MST",2,1)))</f>
        <v>3</v>
      </c>
      <c r="U160" s="101" t="s">
        <v>463</v>
      </c>
      <c r="V160" s="101">
        <f>IF(Table1[[#This Row],[Low-cost office?]]="Yes",-4,0)</f>
        <v>0</v>
      </c>
      <c r="W160" s="106"/>
      <c r="X160" t="s">
        <v>463</v>
      </c>
    </row>
    <row r="161" spans="1:24" x14ac:dyDescent="0.55000000000000004">
      <c r="A161" t="s">
        <v>600</v>
      </c>
      <c r="B161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7</v>
      </c>
      <c r="C161" s="101" t="s">
        <v>469</v>
      </c>
      <c r="D161" s="107" t="s">
        <v>470</v>
      </c>
      <c r="E161" s="107" t="s">
        <v>470</v>
      </c>
      <c r="F161" s="98" t="s">
        <v>460</v>
      </c>
      <c r="G161" s="107" t="s">
        <v>470</v>
      </c>
      <c r="H161" s="107" t="s">
        <v>470</v>
      </c>
      <c r="I161" s="107" t="s">
        <v>470</v>
      </c>
      <c r="J161" s="107">
        <f>IF(Table1[[#This Row],[CIV]]="⮽",0,1)*1.5</f>
        <v>0</v>
      </c>
      <c r="K161" s="107">
        <f>IF(Table1[[#This Row],[ARC]]="⮽",0,1)*3</f>
        <v>0</v>
      </c>
      <c r="L161" s="107">
        <f>IF(Table1[[#This Row],[STR]]="⮽",0,1)*2</f>
        <v>0</v>
      </c>
      <c r="M161" s="107">
        <f>IF(Table1[[#This Row],[MP]]="⮽",0,1)</f>
        <v>0</v>
      </c>
      <c r="N161" s="107">
        <f>IF(Table1[[#This Row],[ELE]]="⮽",0,1)</f>
        <v>0</v>
      </c>
      <c r="O161" s="107">
        <f>IF(Table1[[#This Row],[FP]]="⮽",0,1)</f>
        <v>0</v>
      </c>
      <c r="P161" s="101">
        <v>2</v>
      </c>
      <c r="Q161" s="101" t="s">
        <v>472</v>
      </c>
      <c r="R161" s="101">
        <f>IF(Table1[[#This Row],[Size (S, M, L)]]="S",2,IF(Table1[[#This Row],[Size (S, M, L)]]="L",1,4))</f>
        <v>1</v>
      </c>
      <c r="S161" s="101" t="s">
        <v>465</v>
      </c>
      <c r="T161" s="101">
        <f>IF(Table1[[#This Row],[TZone]]="EST",4,IF(Table1[[#This Row],[TZone]]="CST",3,IF(Table1[[#This Row],[TZone]]="MST",2,1)))</f>
        <v>4</v>
      </c>
      <c r="U161" s="101" t="s">
        <v>479</v>
      </c>
      <c r="V161" s="101">
        <f>IF(Table1[[#This Row],[Low-cost office?]]="Yes",-4,0)</f>
        <v>0</v>
      </c>
      <c r="W161" s="106"/>
      <c r="X161" t="s">
        <v>479</v>
      </c>
    </row>
    <row r="162" spans="1:24" x14ac:dyDescent="0.55000000000000004">
      <c r="A162" t="s">
        <v>605</v>
      </c>
      <c r="B162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7</v>
      </c>
      <c r="C162" s="101" t="s">
        <v>469</v>
      </c>
      <c r="D162" s="99" t="s">
        <v>470</v>
      </c>
      <c r="E162" s="98" t="s">
        <v>460</v>
      </c>
      <c r="F162" s="99" t="s">
        <v>470</v>
      </c>
      <c r="G162" s="99" t="s">
        <v>470</v>
      </c>
      <c r="H162" s="99" t="s">
        <v>470</v>
      </c>
      <c r="I162" s="99" t="s">
        <v>470</v>
      </c>
      <c r="J162" s="99">
        <f>IF(Table1[[#This Row],[CIV]]="⮽",0,1)*1.5</f>
        <v>0</v>
      </c>
      <c r="K162" s="99">
        <f>IF(Table1[[#This Row],[ARC]]="⮽",0,1)*3</f>
        <v>0</v>
      </c>
      <c r="L162" s="99">
        <f>IF(Table1[[#This Row],[STR]]="⮽",0,1)*2</f>
        <v>2</v>
      </c>
      <c r="M162" s="99">
        <f>IF(Table1[[#This Row],[MP]]="⮽",0,1)</f>
        <v>0</v>
      </c>
      <c r="N162" s="99">
        <f>IF(Table1[[#This Row],[ELE]]="⮽",0,1)</f>
        <v>0</v>
      </c>
      <c r="O162" s="99">
        <f>IF(Table1[[#This Row],[FP]]="⮽",0,1)</f>
        <v>0</v>
      </c>
      <c r="P162" s="101">
        <v>1</v>
      </c>
      <c r="Q162" s="101" t="s">
        <v>461</v>
      </c>
      <c r="R162" s="101">
        <f>IF(Table1[[#This Row],[Size (S, M, L)]]="S",2,IF(Table1[[#This Row],[Size (S, M, L)]]="L",1,4))</f>
        <v>2</v>
      </c>
      <c r="S162" s="101" t="s">
        <v>485</v>
      </c>
      <c r="T162" s="101">
        <f>IF(Table1[[#This Row],[TZone]]="EST",4,IF(Table1[[#This Row],[TZone]]="CST",3,IF(Table1[[#This Row],[TZone]]="MST",2,1)))</f>
        <v>3</v>
      </c>
      <c r="U162" s="101" t="s">
        <v>479</v>
      </c>
      <c r="V162" s="101">
        <f>IF(Table1[[#This Row],[Low-cost office?]]="Yes",-4,0)</f>
        <v>-4</v>
      </c>
      <c r="W162" s="106"/>
      <c r="X162" t="s">
        <v>479</v>
      </c>
    </row>
    <row r="163" spans="1:24" x14ac:dyDescent="0.55000000000000004">
      <c r="A163" t="s">
        <v>685</v>
      </c>
      <c r="B163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7</v>
      </c>
      <c r="C163" s="101" t="s">
        <v>469</v>
      </c>
      <c r="D163" s="98" t="s">
        <v>470</v>
      </c>
      <c r="E163" s="98" t="s">
        <v>470</v>
      </c>
      <c r="F163" s="98" t="s">
        <v>470</v>
      </c>
      <c r="G163" s="98" t="s">
        <v>460</v>
      </c>
      <c r="H163" s="98" t="s">
        <v>460</v>
      </c>
      <c r="I163" s="98" t="s">
        <v>470</v>
      </c>
      <c r="J163" s="98">
        <f>IF(Table1[[#This Row],[CIV]]="⮽",0,1)*1.5</f>
        <v>0</v>
      </c>
      <c r="K163" s="98">
        <f>IF(Table1[[#This Row],[ARC]]="⮽",0,1)*3</f>
        <v>0</v>
      </c>
      <c r="L163" s="98">
        <f>IF(Table1[[#This Row],[STR]]="⮽",0,1)*2</f>
        <v>0</v>
      </c>
      <c r="M163" s="98">
        <f>IF(Table1[[#This Row],[MP]]="⮽",0,1)</f>
        <v>0</v>
      </c>
      <c r="N163" s="98">
        <f>IF(Table1[[#This Row],[ELE]]="⮽",0,1)</f>
        <v>0</v>
      </c>
      <c r="O163" s="98">
        <f>IF(Table1[[#This Row],[FP]]="⮽",0,1)</f>
        <v>0</v>
      </c>
      <c r="P163" s="101">
        <v>2</v>
      </c>
      <c r="Q163" s="101" t="s">
        <v>472</v>
      </c>
      <c r="R163" s="101">
        <f>IF(Table1[[#This Row],[Size (S, M, L)]]="S",2,IF(Table1[[#This Row],[Size (S, M, L)]]="L",1,4))</f>
        <v>2</v>
      </c>
      <c r="S163" s="101" t="s">
        <v>485</v>
      </c>
      <c r="T163" s="101">
        <f>IF(Table1[[#This Row],[TZone]]="EST",4,IF(Table1[[#This Row],[TZone]]="CST",3,IF(Table1[[#This Row],[TZone]]="MST",2,1)))</f>
        <v>3</v>
      </c>
      <c r="U163" s="101" t="s">
        <v>479</v>
      </c>
      <c r="V163" s="101">
        <f>IF(Table1[[#This Row],[Low-cost office?]]="Yes",-4,0)</f>
        <v>0</v>
      </c>
      <c r="W163" s="106"/>
      <c r="X163" t="s">
        <v>479</v>
      </c>
    </row>
    <row r="164" spans="1:24" x14ac:dyDescent="0.55000000000000004">
      <c r="A164" t="s">
        <v>686</v>
      </c>
      <c r="B164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7</v>
      </c>
      <c r="C164" s="101" t="s">
        <v>469</v>
      </c>
      <c r="D164" s="99" t="s">
        <v>470</v>
      </c>
      <c r="E164" s="98" t="s">
        <v>460</v>
      </c>
      <c r="F164" s="99" t="s">
        <v>470</v>
      </c>
      <c r="G164" s="99" t="s">
        <v>470</v>
      </c>
      <c r="H164" s="99" t="s">
        <v>470</v>
      </c>
      <c r="I164" s="99" t="s">
        <v>470</v>
      </c>
      <c r="J164" s="99">
        <f>IF(Table1[[#This Row],[CIV]]="⮽",0,1)*1.5</f>
        <v>0</v>
      </c>
      <c r="K164" s="99">
        <f>IF(Table1[[#This Row],[ARC]]="⮽",0,1)*3</f>
        <v>0</v>
      </c>
      <c r="L164" s="99">
        <f>IF(Table1[[#This Row],[STR]]="⮽",0,1)*2</f>
        <v>0</v>
      </c>
      <c r="M164" s="99">
        <f>IF(Table1[[#This Row],[MP]]="⮽",0,1)</f>
        <v>0</v>
      </c>
      <c r="N164" s="99">
        <f>IF(Table1[[#This Row],[ELE]]="⮽",0,1)</f>
        <v>0</v>
      </c>
      <c r="O164" s="99">
        <f>IF(Table1[[#This Row],[FP]]="⮽",0,1)</f>
        <v>0</v>
      </c>
      <c r="P164" s="101">
        <v>1</v>
      </c>
      <c r="Q164" s="101" t="s">
        <v>475</v>
      </c>
      <c r="R164" s="101">
        <f>IF(Table1[[#This Row],[Size (S, M, L)]]="S",2,IF(Table1[[#This Row],[Size (S, M, L)]]="L",1,4))</f>
        <v>2</v>
      </c>
      <c r="S164" s="101" t="s">
        <v>465</v>
      </c>
      <c r="T164" s="101">
        <f>IF(Table1[[#This Row],[TZone]]="EST",4,IF(Table1[[#This Row],[TZone]]="CST",3,IF(Table1[[#This Row],[TZone]]="MST",2,1)))</f>
        <v>3</v>
      </c>
      <c r="U164" s="101" t="s">
        <v>479</v>
      </c>
      <c r="V164" s="101">
        <f>IF(Table1[[#This Row],[Low-cost office?]]="Yes",-4,0)</f>
        <v>0</v>
      </c>
      <c r="W164" s="106"/>
      <c r="X164" t="s">
        <v>479</v>
      </c>
    </row>
    <row r="165" spans="1:24" x14ac:dyDescent="0.55000000000000004">
      <c r="A165" t="s">
        <v>687</v>
      </c>
      <c r="B165" s="101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6.5</v>
      </c>
      <c r="C165" s="101" t="s">
        <v>469</v>
      </c>
      <c r="D165" s="99" t="s">
        <v>460</v>
      </c>
      <c r="E165" s="99" t="s">
        <v>470</v>
      </c>
      <c r="F165" s="99" t="s">
        <v>470</v>
      </c>
      <c r="G165" s="99" t="s">
        <v>470</v>
      </c>
      <c r="H165" s="99" t="s">
        <v>470</v>
      </c>
      <c r="I165" s="99" t="s">
        <v>470</v>
      </c>
      <c r="J165" s="99">
        <f>IF(Table1[[#This Row],[CIV]]="⮽",0,1)*1.5</f>
        <v>1.5</v>
      </c>
      <c r="K165" s="99">
        <f>IF(Table1[[#This Row],[ARC]]="⮽",0,1)*3</f>
        <v>0</v>
      </c>
      <c r="L165" s="99">
        <f>IF(Table1[[#This Row],[STR]]="⮽",0,1)*2</f>
        <v>0</v>
      </c>
      <c r="M165" s="99">
        <f>IF(Table1[[#This Row],[MP]]="⮽",0,1)</f>
        <v>0</v>
      </c>
      <c r="N165" s="99">
        <f>IF(Table1[[#This Row],[ELE]]="⮽",0,1)</f>
        <v>0</v>
      </c>
      <c r="O165" s="99">
        <f>IF(Table1[[#This Row],[FP]]="⮽",0,1)</f>
        <v>0</v>
      </c>
      <c r="P165" s="101">
        <v>1</v>
      </c>
      <c r="Q165" s="101" t="s">
        <v>475</v>
      </c>
      <c r="R165" s="101">
        <f>IF(Table1[[#This Row],[Size (S, M, L)]]="S",2,IF(Table1[[#This Row],[Size (S, M, L)]]="L",1,4))</f>
        <v>2</v>
      </c>
      <c r="S165" s="101" t="s">
        <v>465</v>
      </c>
      <c r="T165" s="101">
        <f>IF(Table1[[#This Row],[TZone]]="EST",4,IF(Table1[[#This Row],[TZone]]="CST",3,IF(Table1[[#This Row],[TZone]]="MST",2,1)))</f>
        <v>1</v>
      </c>
      <c r="U165" s="101" t="s">
        <v>479</v>
      </c>
      <c r="V165" s="101">
        <f>IF(Table1[[#This Row],[Low-cost office?]]="Yes",-4,0)</f>
        <v>0</v>
      </c>
      <c r="W165" s="106"/>
      <c r="X165" t="s">
        <v>479</v>
      </c>
    </row>
    <row r="166" spans="1:24" x14ac:dyDescent="0.55000000000000004">
      <c r="A166" s="24" t="s">
        <v>493</v>
      </c>
      <c r="B166" s="102">
        <f>Table1[[#This Row],[Column6]]+Table1[[#This Row],[Column5]]+Table1[[#This Row],[Column4]]+Table1[[#This Row],[Column3]]+Table1[[#This Row],[Column2]]+Table1[[#This Row],[Column1]]+2*(Table1[[#This Row],[Mkt Fit (1-3)]])+Table1[[#This Row],[Column7]]+Table1[[#This Row],[Column8]]+Table1[[#This Row],[Column9]]</f>
        <v>6</v>
      </c>
      <c r="C166" s="102" t="s">
        <v>688</v>
      </c>
      <c r="D166" s="108" t="s">
        <v>470</v>
      </c>
      <c r="E166" s="108" t="s">
        <v>470</v>
      </c>
      <c r="F166" s="108" t="s">
        <v>470</v>
      </c>
      <c r="G166" s="100" t="s">
        <v>470</v>
      </c>
      <c r="H166" s="100" t="s">
        <v>470</v>
      </c>
      <c r="I166" s="100" t="s">
        <v>470</v>
      </c>
      <c r="J166" s="100">
        <f>IF(Table1[[#This Row],[CIV]]="⮽",0,1)*1.5</f>
        <v>0</v>
      </c>
      <c r="K166" s="100">
        <f>IF(Table1[[#This Row],[ARC]]="⮽",0,1)*3</f>
        <v>0</v>
      </c>
      <c r="L166" s="100">
        <f>IF(Table1[[#This Row],[STR]]="⮽",0,1)*2</f>
        <v>0</v>
      </c>
      <c r="M166" s="100">
        <f>IF(Table1[[#This Row],[MP]]="⮽",0,1)</f>
        <v>0</v>
      </c>
      <c r="N166" s="100">
        <f>IF(Table1[[#This Row],[ELE]]="⮽",0,1)</f>
        <v>0</v>
      </c>
      <c r="O166" s="100">
        <f>IF(Table1[[#This Row],[FP]]="⮽",0,1)</f>
        <v>0</v>
      </c>
      <c r="P166" s="102">
        <v>1</v>
      </c>
      <c r="Q166" s="102" t="s">
        <v>472</v>
      </c>
      <c r="R166" s="102">
        <f>IF(Table1[[#This Row],[Size (S, M, L)]]="S",2,IF(Table1[[#This Row],[Size (S, M, L)]]="L",1,4))</f>
        <v>2</v>
      </c>
      <c r="S166" s="102" t="s">
        <v>465</v>
      </c>
      <c r="T166" s="102">
        <f>IF(Table1[[#This Row],[TZone]]="EST",4,IF(Table1[[#This Row],[TZone]]="CST",3,IF(Table1[[#This Row],[TZone]]="MST",2,1)))</f>
        <v>2</v>
      </c>
      <c r="U166" s="102" t="s">
        <v>479</v>
      </c>
      <c r="V166" s="102">
        <f>IF(Table1[[#This Row],[Low-cost office?]]="Yes",-4,0)</f>
        <v>0</v>
      </c>
      <c r="W166" s="109"/>
      <c r="X166" t="s">
        <v>479</v>
      </c>
    </row>
  </sheetData>
  <conditionalFormatting sqref="B2:B166 S87:V166">
    <cfRule type="containsText" dxfId="396" priority="239" operator="containsText" text="MST">
      <formula>NOT(ISERROR(SEARCH("MST",B2)))</formula>
    </cfRule>
    <cfRule type="containsText" dxfId="395" priority="240" operator="containsText" text="PST">
      <formula>NOT(ISERROR(SEARCH("PST",B2)))</formula>
    </cfRule>
  </conditionalFormatting>
  <conditionalFormatting sqref="D20 D81">
    <cfRule type="containsText" dxfId="394" priority="370" operator="containsText" text="✓">
      <formula>NOT(ISERROR(SEARCH("✓",D20)))</formula>
    </cfRule>
  </conditionalFormatting>
  <conditionalFormatting sqref="D24">
    <cfRule type="containsText" dxfId="393" priority="359" operator="containsText" text="⮽">
      <formula>NOT(ISERROR(SEARCH("⮽",D24)))</formula>
    </cfRule>
    <cfRule type="containsText" dxfId="392" priority="360" operator="containsText" text="✓">
      <formula>NOT(ISERROR(SEARCH("✓",D24)))</formula>
    </cfRule>
  </conditionalFormatting>
  <conditionalFormatting sqref="D29:D31">
    <cfRule type="containsText" dxfId="391" priority="343" operator="containsText" text="✓">
      <formula>NOT(ISERROR(SEARCH("✓",D29)))</formula>
    </cfRule>
  </conditionalFormatting>
  <conditionalFormatting sqref="D39:D42">
    <cfRule type="containsText" dxfId="390" priority="215" operator="containsText" text="⮽">
      <formula>NOT(ISERROR(SEARCH("⮽",D39)))</formula>
    </cfRule>
    <cfRule type="containsText" dxfId="389" priority="216" operator="containsText" text="✓">
      <formula>NOT(ISERROR(SEARCH("✓",D39)))</formula>
    </cfRule>
  </conditionalFormatting>
  <conditionalFormatting sqref="D44:D47">
    <cfRule type="containsText" dxfId="388" priority="119" operator="containsText" text="✓">
      <formula>NOT(ISERROR(SEARCH("✓",D44)))</formula>
    </cfRule>
    <cfRule type="containsText" dxfId="387" priority="118" operator="containsText" text="⮽">
      <formula>NOT(ISERROR(SEARCH("⮽",D44)))</formula>
    </cfRule>
  </conditionalFormatting>
  <conditionalFormatting sqref="D49:D53">
    <cfRule type="containsText" dxfId="386" priority="80" operator="containsText" text="✓">
      <formula>NOT(ISERROR(SEARCH("✓",D49)))</formula>
    </cfRule>
    <cfRule type="containsText" dxfId="385" priority="79" operator="containsText" text="⮽">
      <formula>NOT(ISERROR(SEARCH("⮽",D49)))</formula>
    </cfRule>
  </conditionalFormatting>
  <conditionalFormatting sqref="D55:D63">
    <cfRule type="containsText" dxfId="384" priority="35" operator="containsText" text="⮽">
      <formula>NOT(ISERROR(SEARCH("⮽",D55)))</formula>
    </cfRule>
    <cfRule type="containsText" dxfId="383" priority="36" operator="containsText" text="✓">
      <formula>NOT(ISERROR(SEARCH("✓",D55)))</formula>
    </cfRule>
  </conditionalFormatting>
  <conditionalFormatting sqref="D65:D66">
    <cfRule type="containsText" dxfId="382" priority="227" operator="containsText" text="⮽">
      <formula>NOT(ISERROR(SEARCH("⮽",D65)))</formula>
    </cfRule>
    <cfRule type="containsText" dxfId="381" priority="228" operator="containsText" text="✓">
      <formula>NOT(ISERROR(SEARCH("✓",D65)))</formula>
    </cfRule>
  </conditionalFormatting>
  <conditionalFormatting sqref="D68:D76">
    <cfRule type="containsText" dxfId="380" priority="92" operator="containsText" text="✓">
      <formula>NOT(ISERROR(SEARCH("✓",D68)))</formula>
    </cfRule>
    <cfRule type="containsText" dxfId="379" priority="91" operator="containsText" text="⮽">
      <formula>NOT(ISERROR(SEARCH("⮽",D68)))</formula>
    </cfRule>
  </conditionalFormatting>
  <conditionalFormatting sqref="D78:D83">
    <cfRule type="containsText" dxfId="378" priority="187" operator="containsText" text="⮽">
      <formula>NOT(ISERROR(SEARCH("⮽",D78)))</formula>
    </cfRule>
    <cfRule type="containsText" dxfId="377" priority="188" operator="containsText" text="✓">
      <formula>NOT(ISERROR(SEARCH("✓",D78)))</formula>
    </cfRule>
  </conditionalFormatting>
  <conditionalFormatting sqref="D81 D20">
    <cfRule type="containsText" dxfId="376" priority="369" operator="containsText" text="⮽">
      <formula>NOT(ISERROR(SEARCH("⮽",D20)))</formula>
    </cfRule>
  </conditionalFormatting>
  <conditionalFormatting sqref="D85">
    <cfRule type="containsText" dxfId="375" priority="152" operator="containsText" text="✓">
      <formula>NOT(ISERROR(SEARCH("✓",D85)))</formula>
    </cfRule>
    <cfRule type="containsText" dxfId="374" priority="151" operator="containsText" text="⮽">
      <formula>NOT(ISERROR(SEARCH("⮽",D85)))</formula>
    </cfRule>
  </conditionalFormatting>
  <conditionalFormatting sqref="D67:F67">
    <cfRule type="containsText" dxfId="373" priority="95" operator="containsText" text="⮽">
      <formula>NOT(ISERROR(SEARCH("⮽",D67)))</formula>
    </cfRule>
    <cfRule type="containsText" dxfId="372" priority="96" operator="containsText" text="✓">
      <formula>NOT(ISERROR(SEARCH("✓",D67)))</formula>
    </cfRule>
  </conditionalFormatting>
  <conditionalFormatting sqref="D43:I43">
    <cfRule type="containsText" dxfId="371" priority="137" operator="containsText" text="✓">
      <formula>NOT(ISERROR(SEARCH("✓",D43)))</formula>
    </cfRule>
    <cfRule type="containsText" dxfId="370" priority="136" operator="containsText" text="⮽">
      <formula>NOT(ISERROR(SEARCH("⮽",D43)))</formula>
    </cfRule>
  </conditionalFormatting>
  <conditionalFormatting sqref="D84:I84">
    <cfRule type="containsText" dxfId="369" priority="156" operator="containsText" text="✓">
      <formula>NOT(ISERROR(SEARCH("✓",D84)))</formula>
    </cfRule>
    <cfRule type="containsText" dxfId="368" priority="155" operator="containsText" text="⮽">
      <formula>NOT(ISERROR(SEARCH("⮽",D84)))</formula>
    </cfRule>
  </conditionalFormatting>
  <conditionalFormatting sqref="D86:I86">
    <cfRule type="containsText" dxfId="367" priority="142" operator="containsText" text="✓">
      <formula>NOT(ISERROR(SEARCH("✓",D86)))</formula>
    </cfRule>
    <cfRule type="containsText" dxfId="366" priority="141" operator="containsText" text="⮽">
      <formula>NOT(ISERROR(SEARCH("⮽",D86)))</formula>
    </cfRule>
  </conditionalFormatting>
  <conditionalFormatting sqref="D2:O19 D25:O25 D26">
    <cfRule type="containsText" dxfId="365" priority="350" operator="containsText" text="✓">
      <formula>NOT(ISERROR(SEARCH("✓",D2)))</formula>
    </cfRule>
  </conditionalFormatting>
  <conditionalFormatting sqref="D2:O19 D25:O25 D26:D31">
    <cfRule type="containsText" dxfId="364" priority="342" operator="containsText" text="⮽">
      <formula>NOT(ISERROR(SEARCH("⮽",D2)))</formula>
    </cfRule>
  </conditionalFormatting>
  <conditionalFormatting sqref="D21:O23">
    <cfRule type="containsText" dxfId="363" priority="335" operator="containsText" text="✓">
      <formula>NOT(ISERROR(SEARCH("✓",D21)))</formula>
    </cfRule>
    <cfRule type="containsText" dxfId="362" priority="334" operator="containsText" text="⮽">
      <formula>NOT(ISERROR(SEARCH("⮽",D21)))</formula>
    </cfRule>
  </conditionalFormatting>
  <conditionalFormatting sqref="D32:O38">
    <cfRule type="containsText" dxfId="361" priority="333" operator="containsText" text="✓">
      <formula>NOT(ISERROR(SEARCH("✓",D32)))</formula>
    </cfRule>
    <cfRule type="containsText" dxfId="360" priority="332" operator="containsText" text="⮽">
      <formula>NOT(ISERROR(SEARCH("⮽",D32)))</formula>
    </cfRule>
  </conditionalFormatting>
  <conditionalFormatting sqref="D77:O77">
    <cfRule type="containsText" dxfId="359" priority="260" operator="containsText" text="⮽">
      <formula>NOT(ISERROR(SEARCH("⮽",D77)))</formula>
    </cfRule>
    <cfRule type="containsText" dxfId="358" priority="261" operator="containsText" text="✓">
      <formula>NOT(ISERROR(SEARCH("✓",D77)))</formula>
    </cfRule>
  </conditionalFormatting>
  <conditionalFormatting sqref="D87:O166">
    <cfRule type="containsText" dxfId="357" priority="245" operator="containsText" text="✓">
      <formula>NOT(ISERROR(SEARCH("✓",D87)))</formula>
    </cfRule>
    <cfRule type="containsText" dxfId="356" priority="244" operator="containsText" text="⮽">
      <formula>NOT(ISERROR(SEARCH("⮽",D87)))</formula>
    </cfRule>
  </conditionalFormatting>
  <conditionalFormatting sqref="E20 J20:O20 E24 J24:O24 E26 J26:O31 D27:D28 E28:E31 G29:H29">
    <cfRule type="containsText" dxfId="355" priority="381" operator="containsText" text="✓">
      <formula>NOT(ISERROR(SEARCH("✓",D20)))</formula>
    </cfRule>
  </conditionalFormatting>
  <conditionalFormatting sqref="E20 J20:O20 E24 J24:O24 E26 J26:O31 D28:E28 G29:H29 E29:E31">
    <cfRule type="containsText" dxfId="354" priority="380" operator="containsText" text="⮽">
      <formula>NOT(ISERROR(SEARCH("⮽",D20)))</formula>
    </cfRule>
  </conditionalFormatting>
  <conditionalFormatting sqref="E39:E42">
    <cfRule type="containsText" dxfId="353" priority="217" operator="containsText" text="⮽">
      <formula>NOT(ISERROR(SEARCH("⮽",E39)))</formula>
    </cfRule>
    <cfRule type="containsText" dxfId="352" priority="218" operator="containsText" text="✓">
      <formula>NOT(ISERROR(SEARCH("✓",E39)))</formula>
    </cfRule>
  </conditionalFormatting>
  <conditionalFormatting sqref="E44:E45">
    <cfRule type="containsText" dxfId="351" priority="123" operator="containsText" text="✓">
      <formula>NOT(ISERROR(SEARCH("✓",E44)))</formula>
    </cfRule>
    <cfRule type="containsText" dxfId="350" priority="122" operator="containsText" text="⮽">
      <formula>NOT(ISERROR(SEARCH("⮽",E44)))</formula>
    </cfRule>
  </conditionalFormatting>
  <conditionalFormatting sqref="E47">
    <cfRule type="containsText" dxfId="349" priority="114" operator="containsText" text="⮽">
      <formula>NOT(ISERROR(SEARCH("⮽",E47)))</formula>
    </cfRule>
    <cfRule type="containsText" dxfId="348" priority="115" operator="containsText" text="✓">
      <formula>NOT(ISERROR(SEARCH("✓",E47)))</formula>
    </cfRule>
  </conditionalFormatting>
  <conditionalFormatting sqref="E49:E53">
    <cfRule type="containsText" dxfId="347" priority="71" operator="containsText" text="⮽">
      <formula>NOT(ISERROR(SEARCH("⮽",E49)))</formula>
    </cfRule>
    <cfRule type="containsText" dxfId="346" priority="72" operator="containsText" text="✓">
      <formula>NOT(ISERROR(SEARCH("✓",E49)))</formula>
    </cfRule>
  </conditionalFormatting>
  <conditionalFormatting sqref="E55:E63">
    <cfRule type="containsText" dxfId="345" priority="30" operator="containsText" text="✓">
      <formula>NOT(ISERROR(SEARCH("✓",E55)))</formula>
    </cfRule>
    <cfRule type="containsText" dxfId="344" priority="29" operator="containsText" text="⮽">
      <formula>NOT(ISERROR(SEARCH("⮽",E55)))</formula>
    </cfRule>
  </conditionalFormatting>
  <conditionalFormatting sqref="E65:E66">
    <cfRule type="containsText" dxfId="343" priority="226" operator="containsText" text="✓">
      <formula>NOT(ISERROR(SEARCH("✓",E65)))</formula>
    </cfRule>
    <cfRule type="containsText" dxfId="342" priority="225" operator="containsText" text="⮽">
      <formula>NOT(ISERROR(SEARCH("⮽",E65)))</formula>
    </cfRule>
  </conditionalFormatting>
  <conditionalFormatting sqref="E68:E76">
    <cfRule type="containsText" dxfId="341" priority="89" operator="containsText" text="⮽">
      <formula>NOT(ISERROR(SEARCH("⮽",E68)))</formula>
    </cfRule>
    <cfRule type="containsText" dxfId="340" priority="90" operator="containsText" text="✓">
      <formula>NOT(ISERROR(SEARCH("✓",E68)))</formula>
    </cfRule>
  </conditionalFormatting>
  <conditionalFormatting sqref="E78:E80">
    <cfRule type="containsText" dxfId="339" priority="175" operator="containsText" text="⮽">
      <formula>NOT(ISERROR(SEARCH("⮽",E78)))</formula>
    </cfRule>
    <cfRule type="containsText" dxfId="338" priority="176" operator="containsText" text="✓">
      <formula>NOT(ISERROR(SEARCH("✓",E78)))</formula>
    </cfRule>
  </conditionalFormatting>
  <conditionalFormatting sqref="E82:E83">
    <cfRule type="containsText" dxfId="337" priority="163" operator="containsText" text="⮽">
      <formula>NOT(ISERROR(SEARCH("⮽",E82)))</formula>
    </cfRule>
    <cfRule type="containsText" dxfId="336" priority="164" operator="containsText" text="✓">
      <formula>NOT(ISERROR(SEARCH("✓",E82)))</formula>
    </cfRule>
  </conditionalFormatting>
  <conditionalFormatting sqref="E85">
    <cfRule type="containsText" dxfId="335" priority="149" operator="containsText" text="⮽">
      <formula>NOT(ISERROR(SEARCH("⮽",E85)))</formula>
    </cfRule>
    <cfRule type="containsText" dxfId="334" priority="150" operator="containsText" text="✓">
      <formula>NOT(ISERROR(SEARCH("✓",E85)))</formula>
    </cfRule>
  </conditionalFormatting>
  <conditionalFormatting sqref="E27:I27">
    <cfRule type="containsText" dxfId="333" priority="347" operator="containsText" text="✓">
      <formula>NOT(ISERROR(SEARCH("✓",E27)))</formula>
    </cfRule>
    <cfRule type="containsText" dxfId="332" priority="346" operator="containsText" text="⮽">
      <formula>NOT(ISERROR(SEARCH("⮽",E27)))</formula>
    </cfRule>
  </conditionalFormatting>
  <conditionalFormatting sqref="E46:I46">
    <cfRule type="containsText" dxfId="331" priority="116" operator="containsText" text="⮽">
      <formula>NOT(ISERROR(SEARCH("⮽",E46)))</formula>
    </cfRule>
    <cfRule type="containsText" dxfId="330" priority="117" operator="containsText" text="✓">
      <formula>NOT(ISERROR(SEARCH("✓",E46)))</formula>
    </cfRule>
  </conditionalFormatting>
  <conditionalFormatting sqref="E81:I81">
    <cfRule type="containsText" dxfId="329" priority="167" operator="containsText" text="⮽">
      <formula>NOT(ISERROR(SEARCH("⮽",E81)))</formula>
    </cfRule>
    <cfRule type="containsText" dxfId="328" priority="168" operator="containsText" text="✓">
      <formula>NOT(ISERROR(SEARCH("✓",E81)))</formula>
    </cfRule>
  </conditionalFormatting>
  <conditionalFormatting sqref="F20">
    <cfRule type="containsText" dxfId="327" priority="367" operator="containsText" text="⮽">
      <formula>NOT(ISERROR(SEARCH("⮽",F20)))</formula>
    </cfRule>
    <cfRule type="containsText" dxfId="326" priority="368" operator="containsText" text="✓">
      <formula>NOT(ISERROR(SEARCH("✓",F20)))</formula>
    </cfRule>
  </conditionalFormatting>
  <conditionalFormatting sqref="F24">
    <cfRule type="containsText" dxfId="325" priority="357" operator="containsText" text="⮽">
      <formula>NOT(ISERROR(SEARCH("⮽",F24)))</formula>
    </cfRule>
    <cfRule type="containsText" dxfId="324" priority="358" operator="containsText" text="✓">
      <formula>NOT(ISERROR(SEARCH("✓",F24)))</formula>
    </cfRule>
  </conditionalFormatting>
  <conditionalFormatting sqref="F29">
    <cfRule type="containsText" dxfId="323" priority="340" operator="containsText" text="⮽">
      <formula>NOT(ISERROR(SEARCH("⮽",F29)))</formula>
    </cfRule>
    <cfRule type="containsText" dxfId="322" priority="341" operator="containsText" text="✓">
      <formula>NOT(ISERROR(SEARCH("✓",F29)))</formula>
    </cfRule>
  </conditionalFormatting>
  <conditionalFormatting sqref="F39:F42">
    <cfRule type="containsText" dxfId="321" priority="214" operator="containsText" text="✓">
      <formula>NOT(ISERROR(SEARCH("✓",F39)))</formula>
    </cfRule>
    <cfRule type="containsText" dxfId="320" priority="213" operator="containsText" text="⮽">
      <formula>NOT(ISERROR(SEARCH("⮽",F39)))</formula>
    </cfRule>
  </conditionalFormatting>
  <conditionalFormatting sqref="F44">
    <cfRule type="containsText" dxfId="319" priority="125" operator="containsText" text="✓">
      <formula>NOT(ISERROR(SEARCH("✓",F44)))</formula>
    </cfRule>
    <cfRule type="containsText" dxfId="318" priority="124" operator="containsText" text="⮽">
      <formula>NOT(ISERROR(SEARCH("⮽",F44)))</formula>
    </cfRule>
  </conditionalFormatting>
  <conditionalFormatting sqref="F49:F51">
    <cfRule type="containsText" dxfId="317" priority="78" operator="containsText" text="✓">
      <formula>NOT(ISERROR(SEARCH("✓",F49)))</formula>
    </cfRule>
    <cfRule type="containsText" dxfId="316" priority="77" operator="containsText" text="⮽">
      <formula>NOT(ISERROR(SEARCH("⮽",F49)))</formula>
    </cfRule>
  </conditionalFormatting>
  <conditionalFormatting sqref="F53">
    <cfRule type="containsText" dxfId="315" priority="69" operator="containsText" text="⮽">
      <formula>NOT(ISERROR(SEARCH("⮽",F53)))</formula>
    </cfRule>
    <cfRule type="containsText" dxfId="314" priority="70" operator="containsText" text="✓">
      <formula>NOT(ISERROR(SEARCH("✓",F53)))</formula>
    </cfRule>
  </conditionalFormatting>
  <conditionalFormatting sqref="F55:F56">
    <cfRule type="containsText" dxfId="313" priority="41" operator="containsText" text="⮽">
      <formula>NOT(ISERROR(SEARCH("⮽",F55)))</formula>
    </cfRule>
    <cfRule type="containsText" dxfId="312" priority="42" operator="containsText" text="✓">
      <formula>NOT(ISERROR(SEARCH("✓",F55)))</formula>
    </cfRule>
  </conditionalFormatting>
  <conditionalFormatting sqref="F58:F63">
    <cfRule type="containsText" dxfId="311" priority="206" operator="containsText" text="✓">
      <formula>NOT(ISERROR(SEARCH("✓",F58)))</formula>
    </cfRule>
    <cfRule type="containsText" dxfId="310" priority="205" operator="containsText" text="⮽">
      <formula>NOT(ISERROR(SEARCH("⮽",F58)))</formula>
    </cfRule>
  </conditionalFormatting>
  <conditionalFormatting sqref="F65:F66">
    <cfRule type="containsText" dxfId="309" priority="224" operator="containsText" text="✓">
      <formula>NOT(ISERROR(SEARCH("✓",F65)))</formula>
    </cfRule>
    <cfRule type="containsText" dxfId="308" priority="223" operator="containsText" text="⮽">
      <formula>NOT(ISERROR(SEARCH("⮽",F65)))</formula>
    </cfRule>
  </conditionalFormatting>
  <conditionalFormatting sqref="F68:F76">
    <cfRule type="containsText" dxfId="307" priority="87" operator="containsText" text="⮽">
      <formula>NOT(ISERROR(SEARCH("⮽",F68)))</formula>
    </cfRule>
    <cfRule type="containsText" dxfId="306" priority="88" operator="containsText" text="✓">
      <formula>NOT(ISERROR(SEARCH("✓",F68)))</formula>
    </cfRule>
  </conditionalFormatting>
  <conditionalFormatting sqref="F78:F80">
    <cfRule type="containsText" dxfId="305" priority="185" operator="containsText" text="⮽">
      <formula>NOT(ISERROR(SEARCH("⮽",F78)))</formula>
    </cfRule>
    <cfRule type="containsText" dxfId="304" priority="186" operator="containsText" text="✓">
      <formula>NOT(ISERROR(SEARCH("✓",F78)))</formula>
    </cfRule>
  </conditionalFormatting>
  <conditionalFormatting sqref="F82:F83">
    <cfRule type="containsText" dxfId="303" priority="161" operator="containsText" text="⮽">
      <formula>NOT(ISERROR(SEARCH("⮽",F82)))</formula>
    </cfRule>
    <cfRule type="containsText" dxfId="302" priority="162" operator="containsText" text="✓">
      <formula>NOT(ISERROR(SEARCH("✓",F82)))</formula>
    </cfRule>
  </conditionalFormatting>
  <conditionalFormatting sqref="F85">
    <cfRule type="containsText" dxfId="301" priority="153" operator="containsText" text="⮽">
      <formula>NOT(ISERROR(SEARCH("⮽",F85)))</formula>
    </cfRule>
    <cfRule type="containsText" dxfId="300" priority="154" operator="containsText" text="✓">
      <formula>NOT(ISERROR(SEARCH("✓",F85)))</formula>
    </cfRule>
  </conditionalFormatting>
  <conditionalFormatting sqref="F52:G52">
    <cfRule type="containsText" dxfId="299" priority="74" operator="containsText" text="✓">
      <formula>NOT(ISERROR(SEARCH("✓",F52)))</formula>
    </cfRule>
    <cfRule type="containsText" dxfId="298" priority="73" operator="containsText" text="⮽">
      <formula>NOT(ISERROR(SEARCH("⮽",F52)))</formula>
    </cfRule>
  </conditionalFormatting>
  <conditionalFormatting sqref="F45:H45">
    <cfRule type="containsText" dxfId="297" priority="120" operator="containsText" text="⮽">
      <formula>NOT(ISERROR(SEARCH("⮽",F45)))</formula>
    </cfRule>
    <cfRule type="containsText" dxfId="296" priority="121" operator="containsText" text="✓">
      <formula>NOT(ISERROR(SEARCH("✓",F45)))</formula>
    </cfRule>
  </conditionalFormatting>
  <conditionalFormatting sqref="F47:H47">
    <cfRule type="containsText" dxfId="295" priority="110" operator="containsText" text="⮽">
      <formula>NOT(ISERROR(SEARCH("⮽",F47)))</formula>
    </cfRule>
    <cfRule type="containsText" dxfId="294" priority="111" operator="containsText" text="✓">
      <formula>NOT(ISERROR(SEARCH("✓",F47)))</formula>
    </cfRule>
  </conditionalFormatting>
  <conditionalFormatting sqref="F57:H57">
    <cfRule type="containsText" dxfId="293" priority="37" operator="containsText" text="⮽">
      <formula>NOT(ISERROR(SEARCH("⮽",F57)))</formula>
    </cfRule>
    <cfRule type="containsText" dxfId="292" priority="38" operator="containsText" text="✓">
      <formula>NOT(ISERROR(SEARCH("✓",F57)))</formula>
    </cfRule>
  </conditionalFormatting>
  <conditionalFormatting sqref="F26:I26">
    <cfRule type="containsText" dxfId="291" priority="349" operator="containsText" text="✓">
      <formula>NOT(ISERROR(SEARCH("✓",F26)))</formula>
    </cfRule>
    <cfRule type="containsText" dxfId="290" priority="348" operator="containsText" text="⮽">
      <formula>NOT(ISERROR(SEARCH("⮽",F26)))</formula>
    </cfRule>
  </conditionalFormatting>
  <conditionalFormatting sqref="F28:I28">
    <cfRule type="containsText" dxfId="289" priority="345" operator="containsText" text="✓">
      <formula>NOT(ISERROR(SEARCH("✓",F28)))</formula>
    </cfRule>
    <cfRule type="containsText" dxfId="288" priority="344" operator="containsText" text="⮽">
      <formula>NOT(ISERROR(SEARCH("⮽",F28)))</formula>
    </cfRule>
  </conditionalFormatting>
  <conditionalFormatting sqref="F30:I31">
    <cfRule type="containsText" dxfId="287" priority="337" operator="containsText" text="✓">
      <formula>NOT(ISERROR(SEARCH("✓",F30)))</formula>
    </cfRule>
    <cfRule type="containsText" dxfId="286" priority="336" operator="containsText" text="⮽">
      <formula>NOT(ISERROR(SEARCH("⮽",F30)))</formula>
    </cfRule>
  </conditionalFormatting>
  <conditionalFormatting sqref="G20">
    <cfRule type="containsText" dxfId="285" priority="366" operator="containsText" text="✓">
      <formula>NOT(ISERROR(SEARCH("✓",G20)))</formula>
    </cfRule>
    <cfRule type="containsText" dxfId="284" priority="365" operator="containsText" text="⮽">
      <formula>NOT(ISERROR(SEARCH("⮽",G20)))</formula>
    </cfRule>
  </conditionalFormatting>
  <conditionalFormatting sqref="G24">
    <cfRule type="containsText" dxfId="283" priority="356" operator="containsText" text="✓">
      <formula>NOT(ISERROR(SEARCH("✓",G24)))</formula>
    </cfRule>
    <cfRule type="containsText" dxfId="282" priority="355" operator="containsText" text="⮽">
      <formula>NOT(ISERROR(SEARCH("⮽",G24)))</formula>
    </cfRule>
  </conditionalFormatting>
  <conditionalFormatting sqref="G39:G42">
    <cfRule type="containsText" dxfId="281" priority="211" operator="containsText" text="⮽">
      <formula>NOT(ISERROR(SEARCH("⮽",G39)))</formula>
    </cfRule>
    <cfRule type="containsText" dxfId="280" priority="212" operator="containsText" text="✓">
      <formula>NOT(ISERROR(SEARCH("✓",G39)))</formula>
    </cfRule>
  </conditionalFormatting>
  <conditionalFormatting sqref="G44">
    <cfRule type="containsText" dxfId="279" priority="126" operator="containsText" text="⮽">
      <formula>NOT(ISERROR(SEARCH("⮽",G44)))</formula>
    </cfRule>
    <cfRule type="containsText" dxfId="278" priority="127" operator="containsText" text="✓">
      <formula>NOT(ISERROR(SEARCH("✓",G44)))</formula>
    </cfRule>
  </conditionalFormatting>
  <conditionalFormatting sqref="G49:G51">
    <cfRule type="containsText" dxfId="277" priority="75" operator="containsText" text="⮽">
      <formula>NOT(ISERROR(SEARCH("⮽",G49)))</formula>
    </cfRule>
    <cfRule type="containsText" dxfId="276" priority="76" operator="containsText" text="✓">
      <formula>NOT(ISERROR(SEARCH("✓",G49)))</formula>
    </cfRule>
  </conditionalFormatting>
  <conditionalFormatting sqref="G53">
    <cfRule type="containsText" dxfId="275" priority="67" operator="containsText" text="⮽">
      <formula>NOT(ISERROR(SEARCH("⮽",G53)))</formula>
    </cfRule>
    <cfRule type="containsText" dxfId="274" priority="68" operator="containsText" text="✓">
      <formula>NOT(ISERROR(SEARCH("✓",G53)))</formula>
    </cfRule>
  </conditionalFormatting>
  <conditionalFormatting sqref="G55">
    <cfRule type="containsText" dxfId="273" priority="48" operator="containsText" text="✓">
      <formula>NOT(ISERROR(SEARCH("✓",G55)))</formula>
    </cfRule>
    <cfRule type="containsText" dxfId="272" priority="47" operator="containsText" text="⮽">
      <formula>NOT(ISERROR(SEARCH("⮽",G55)))</formula>
    </cfRule>
  </conditionalFormatting>
  <conditionalFormatting sqref="G58:G63">
    <cfRule type="containsText" dxfId="271" priority="28" operator="containsText" text="✓">
      <formula>NOT(ISERROR(SEARCH("✓",G58)))</formula>
    </cfRule>
    <cfRule type="containsText" dxfId="270" priority="27" operator="containsText" text="⮽">
      <formula>NOT(ISERROR(SEARCH("⮽",G58)))</formula>
    </cfRule>
  </conditionalFormatting>
  <conditionalFormatting sqref="G65:G66">
    <cfRule type="containsText" dxfId="269" priority="221" operator="containsText" text="⮽">
      <formula>NOT(ISERROR(SEARCH("⮽",G65)))</formula>
    </cfRule>
    <cfRule type="containsText" dxfId="268" priority="222" operator="containsText" text="✓">
      <formula>NOT(ISERROR(SEARCH("✓",G65)))</formula>
    </cfRule>
  </conditionalFormatting>
  <conditionalFormatting sqref="G68:G76">
    <cfRule type="containsText" dxfId="267" priority="86" operator="containsText" text="✓">
      <formula>NOT(ISERROR(SEARCH("✓",G68)))</formula>
    </cfRule>
    <cfRule type="containsText" dxfId="266" priority="85" operator="containsText" text="⮽">
      <formula>NOT(ISERROR(SEARCH("⮽",G68)))</formula>
    </cfRule>
  </conditionalFormatting>
  <conditionalFormatting sqref="G78">
    <cfRule type="containsText" dxfId="265" priority="184" operator="containsText" text="✓">
      <formula>NOT(ISERROR(SEARCH("✓",G78)))</formula>
    </cfRule>
    <cfRule type="containsText" dxfId="264" priority="183" operator="containsText" text="⮽">
      <formula>NOT(ISERROR(SEARCH("⮽",G78)))</formula>
    </cfRule>
  </conditionalFormatting>
  <conditionalFormatting sqref="G80">
    <cfRule type="containsText" dxfId="263" priority="174" operator="containsText" text="✓">
      <formula>NOT(ISERROR(SEARCH("✓",G80)))</formula>
    </cfRule>
    <cfRule type="containsText" dxfId="262" priority="173" operator="containsText" text="⮽">
      <formula>NOT(ISERROR(SEARCH("⮽",G80)))</formula>
    </cfRule>
  </conditionalFormatting>
  <conditionalFormatting sqref="G82:G83">
    <cfRule type="containsText" dxfId="261" priority="160" operator="containsText" text="✓">
      <formula>NOT(ISERROR(SEARCH("✓",G82)))</formula>
    </cfRule>
    <cfRule type="containsText" dxfId="260" priority="159" operator="containsText" text="⮽">
      <formula>NOT(ISERROR(SEARCH("⮽",G82)))</formula>
    </cfRule>
  </conditionalFormatting>
  <conditionalFormatting sqref="G85">
    <cfRule type="containsText" dxfId="259" priority="147" operator="containsText" text="⮽">
      <formula>NOT(ISERROR(SEARCH("⮽",G85)))</formula>
    </cfRule>
    <cfRule type="containsText" dxfId="258" priority="148" operator="containsText" text="✓">
      <formula>NOT(ISERROR(SEARCH("✓",G85)))</formula>
    </cfRule>
  </conditionalFormatting>
  <conditionalFormatting sqref="G67:H67">
    <cfRule type="containsText" dxfId="257" priority="94" operator="containsText" text="✓">
      <formula>NOT(ISERROR(SEARCH("✓",G67)))</formula>
    </cfRule>
    <cfRule type="containsText" dxfId="256" priority="93" operator="containsText" text="⮽">
      <formula>NOT(ISERROR(SEARCH("⮽",G67)))</formula>
    </cfRule>
  </conditionalFormatting>
  <conditionalFormatting sqref="G56:I56">
    <cfRule type="containsText" dxfId="255" priority="39" operator="containsText" text="⮽">
      <formula>NOT(ISERROR(SEARCH("⮽",G56)))</formula>
    </cfRule>
    <cfRule type="containsText" dxfId="254" priority="40" operator="containsText" text="✓">
      <formula>NOT(ISERROR(SEARCH("✓",G56)))</formula>
    </cfRule>
  </conditionalFormatting>
  <conditionalFormatting sqref="G79:I79">
    <cfRule type="containsText" dxfId="253" priority="178" operator="containsText" text="✓">
      <formula>NOT(ISERROR(SEARCH("✓",G79)))</formula>
    </cfRule>
    <cfRule type="containsText" dxfId="252" priority="177" operator="containsText" text="⮽">
      <formula>NOT(ISERROR(SEARCH("⮽",G79)))</formula>
    </cfRule>
  </conditionalFormatting>
  <conditionalFormatting sqref="H20">
    <cfRule type="containsText" dxfId="251" priority="363" operator="containsText" text="⮽">
      <formula>NOT(ISERROR(SEARCH("⮽",H20)))</formula>
    </cfRule>
    <cfRule type="containsText" dxfId="250" priority="364" operator="containsText" text="✓">
      <formula>NOT(ISERROR(SEARCH("✓",H20)))</formula>
    </cfRule>
  </conditionalFormatting>
  <conditionalFormatting sqref="H24">
    <cfRule type="containsText" dxfId="249" priority="353" operator="containsText" text="⮽">
      <formula>NOT(ISERROR(SEARCH("⮽",H24)))</formula>
    </cfRule>
    <cfRule type="containsText" dxfId="248" priority="354" operator="containsText" text="✓">
      <formula>NOT(ISERROR(SEARCH("✓",H24)))</formula>
    </cfRule>
  </conditionalFormatting>
  <conditionalFormatting sqref="H39:H42">
    <cfRule type="containsText" dxfId="247" priority="210" operator="containsText" text="✓">
      <formula>NOT(ISERROR(SEARCH("✓",H39)))</formula>
    </cfRule>
    <cfRule type="containsText" dxfId="246" priority="209" operator="containsText" text="⮽">
      <formula>NOT(ISERROR(SEARCH("⮽",H39)))</formula>
    </cfRule>
  </conditionalFormatting>
  <conditionalFormatting sqref="H44">
    <cfRule type="containsText" dxfId="245" priority="129" operator="containsText" text="✓">
      <formula>NOT(ISERROR(SEARCH("✓",H44)))</formula>
    </cfRule>
    <cfRule type="containsText" dxfId="244" priority="128" operator="containsText" text="⮽">
      <formula>NOT(ISERROR(SEARCH("⮽",H44)))</formula>
    </cfRule>
  </conditionalFormatting>
  <conditionalFormatting sqref="H49:H53">
    <cfRule type="containsText" dxfId="243" priority="66" operator="containsText" text="✓">
      <formula>NOT(ISERROR(SEARCH("✓",H49)))</formula>
    </cfRule>
    <cfRule type="containsText" dxfId="242" priority="65" operator="containsText" text="⮽">
      <formula>NOT(ISERROR(SEARCH("⮽",H49)))</formula>
    </cfRule>
  </conditionalFormatting>
  <conditionalFormatting sqref="H55">
    <cfRule type="containsText" dxfId="241" priority="46" operator="containsText" text="✓">
      <formula>NOT(ISERROR(SEARCH("✓",H55)))</formula>
    </cfRule>
    <cfRule type="containsText" dxfId="240" priority="45" operator="containsText" text="⮽">
      <formula>NOT(ISERROR(SEARCH("⮽",H55)))</formula>
    </cfRule>
  </conditionalFormatting>
  <conditionalFormatting sqref="H58:H63">
    <cfRule type="containsText" dxfId="239" priority="26" operator="containsText" text="✓">
      <formula>NOT(ISERROR(SEARCH("✓",H58)))</formula>
    </cfRule>
    <cfRule type="containsText" dxfId="238" priority="25" operator="containsText" text="⮽">
      <formula>NOT(ISERROR(SEARCH("⮽",H58)))</formula>
    </cfRule>
  </conditionalFormatting>
  <conditionalFormatting sqref="H65:H66">
    <cfRule type="containsText" dxfId="237" priority="220" operator="containsText" text="✓">
      <formula>NOT(ISERROR(SEARCH("✓",H65)))</formula>
    </cfRule>
    <cfRule type="containsText" dxfId="236" priority="219" operator="containsText" text="⮽">
      <formula>NOT(ISERROR(SEARCH("⮽",H65)))</formula>
    </cfRule>
  </conditionalFormatting>
  <conditionalFormatting sqref="H68:H76">
    <cfRule type="containsText" dxfId="235" priority="84" operator="containsText" text="✓">
      <formula>NOT(ISERROR(SEARCH("✓",H68)))</formula>
    </cfRule>
    <cfRule type="containsText" dxfId="234" priority="83" operator="containsText" text="⮽">
      <formula>NOT(ISERROR(SEARCH("⮽",H68)))</formula>
    </cfRule>
  </conditionalFormatting>
  <conditionalFormatting sqref="H78">
    <cfRule type="containsText" dxfId="233" priority="182" operator="containsText" text="✓">
      <formula>NOT(ISERROR(SEARCH("✓",H78)))</formula>
    </cfRule>
    <cfRule type="containsText" dxfId="232" priority="181" operator="containsText" text="⮽">
      <formula>NOT(ISERROR(SEARCH("⮽",H78)))</formula>
    </cfRule>
  </conditionalFormatting>
  <conditionalFormatting sqref="H80">
    <cfRule type="containsText" dxfId="231" priority="171" operator="containsText" text="⮽">
      <formula>NOT(ISERROR(SEARCH("⮽",H80)))</formula>
    </cfRule>
    <cfRule type="containsText" dxfId="230" priority="172" operator="containsText" text="✓">
      <formula>NOT(ISERROR(SEARCH("✓",H80)))</formula>
    </cfRule>
  </conditionalFormatting>
  <conditionalFormatting sqref="H82:H83">
    <cfRule type="containsText" dxfId="229" priority="157" operator="containsText" text="⮽">
      <formula>NOT(ISERROR(SEARCH("⮽",H82)))</formula>
    </cfRule>
    <cfRule type="containsText" dxfId="228" priority="158" operator="containsText" text="✓">
      <formula>NOT(ISERROR(SEARCH("✓",H82)))</formula>
    </cfRule>
  </conditionalFormatting>
  <conditionalFormatting sqref="H85">
    <cfRule type="containsText" dxfId="227" priority="145" operator="containsText" text="⮽">
      <formula>NOT(ISERROR(SEARCH("⮽",H85)))</formula>
    </cfRule>
    <cfRule type="containsText" dxfId="226" priority="146" operator="containsText" text="✓">
      <formula>NOT(ISERROR(SEARCH("✓",H85)))</formula>
    </cfRule>
  </conditionalFormatting>
  <conditionalFormatting sqref="I20">
    <cfRule type="containsText" dxfId="225" priority="362" operator="containsText" text="✓">
      <formula>NOT(ISERROR(SEARCH("✓",I20)))</formula>
    </cfRule>
    <cfRule type="containsText" dxfId="224" priority="361" operator="containsText" text="⮽">
      <formula>NOT(ISERROR(SEARCH("⮽",I20)))</formula>
    </cfRule>
  </conditionalFormatting>
  <conditionalFormatting sqref="I24">
    <cfRule type="containsText" dxfId="223" priority="352" operator="containsText" text="✓">
      <formula>NOT(ISERROR(SEARCH("✓",I24)))</formula>
    </cfRule>
    <cfRule type="containsText" dxfId="222" priority="351" operator="containsText" text="⮽">
      <formula>NOT(ISERROR(SEARCH("⮽",I24)))</formula>
    </cfRule>
  </conditionalFormatting>
  <conditionalFormatting sqref="I29">
    <cfRule type="containsText" dxfId="221" priority="339" operator="containsText" text="✓">
      <formula>NOT(ISERROR(SEARCH("✓",I29)))</formula>
    </cfRule>
    <cfRule type="containsText" dxfId="220" priority="338" operator="containsText" text="⮽">
      <formula>NOT(ISERROR(SEARCH("⮽",I29)))</formula>
    </cfRule>
  </conditionalFormatting>
  <conditionalFormatting sqref="I39:I42">
    <cfRule type="containsText" dxfId="219" priority="207" operator="containsText" text="⮽">
      <formula>NOT(ISERROR(SEARCH("⮽",I39)))</formula>
    </cfRule>
    <cfRule type="containsText" dxfId="218" priority="208" operator="containsText" text="✓">
      <formula>NOT(ISERROR(SEARCH("✓",I39)))</formula>
    </cfRule>
  </conditionalFormatting>
  <conditionalFormatting sqref="I44:I45">
    <cfRule type="containsText" dxfId="217" priority="131" operator="containsText" text="✓">
      <formula>NOT(ISERROR(SEARCH("✓",I44)))</formula>
    </cfRule>
    <cfRule type="containsText" dxfId="216" priority="130" operator="containsText" text="⮽">
      <formula>NOT(ISERROR(SEARCH("⮽",I44)))</formula>
    </cfRule>
  </conditionalFormatting>
  <conditionalFormatting sqref="I47">
    <cfRule type="containsText" dxfId="215" priority="112" operator="containsText" text="⮽">
      <formula>NOT(ISERROR(SEARCH("⮽",I47)))</formula>
    </cfRule>
    <cfRule type="containsText" dxfId="214" priority="113" operator="containsText" text="✓">
      <formula>NOT(ISERROR(SEARCH("✓",I47)))</formula>
    </cfRule>
  </conditionalFormatting>
  <conditionalFormatting sqref="I49:I53">
    <cfRule type="containsText" dxfId="213" priority="63" operator="containsText" text="⮽">
      <formula>NOT(ISERROR(SEARCH("⮽",I49)))</formula>
    </cfRule>
    <cfRule type="containsText" dxfId="212" priority="64" operator="containsText" text="✓">
      <formula>NOT(ISERROR(SEARCH("✓",I49)))</formula>
    </cfRule>
  </conditionalFormatting>
  <conditionalFormatting sqref="I55">
    <cfRule type="containsText" dxfId="211" priority="44" operator="containsText" text="✓">
      <formula>NOT(ISERROR(SEARCH("✓",I55)))</formula>
    </cfRule>
    <cfRule type="containsText" dxfId="210" priority="43" operator="containsText" text="⮽">
      <formula>NOT(ISERROR(SEARCH("⮽",I55)))</formula>
    </cfRule>
  </conditionalFormatting>
  <conditionalFormatting sqref="I57:I63">
    <cfRule type="containsText" dxfId="209" priority="24" operator="containsText" text="✓">
      <formula>NOT(ISERROR(SEARCH("✓",I57)))</formula>
    </cfRule>
    <cfRule type="containsText" dxfId="208" priority="23" operator="containsText" text="⮽">
      <formula>NOT(ISERROR(SEARCH("⮽",I57)))</formula>
    </cfRule>
  </conditionalFormatting>
  <conditionalFormatting sqref="I65:I76">
    <cfRule type="containsText" dxfId="207" priority="81" operator="containsText" text="⮽">
      <formula>NOT(ISERROR(SEARCH("⮽",I65)))</formula>
    </cfRule>
    <cfRule type="containsText" dxfId="206" priority="82" operator="containsText" text="✓">
      <formula>NOT(ISERROR(SEARCH("✓",I65)))</formula>
    </cfRule>
  </conditionalFormatting>
  <conditionalFormatting sqref="I78">
    <cfRule type="containsText" dxfId="205" priority="179" operator="containsText" text="⮽">
      <formula>NOT(ISERROR(SEARCH("⮽",I78)))</formula>
    </cfRule>
    <cfRule type="containsText" dxfId="204" priority="180" operator="containsText" text="✓">
      <formula>NOT(ISERROR(SEARCH("✓",I78)))</formula>
    </cfRule>
  </conditionalFormatting>
  <conditionalFormatting sqref="I80">
    <cfRule type="containsText" dxfId="203" priority="169" operator="containsText" text="⮽">
      <formula>NOT(ISERROR(SEARCH("⮽",I80)))</formula>
    </cfRule>
    <cfRule type="containsText" dxfId="202" priority="170" operator="containsText" text="✓">
      <formula>NOT(ISERROR(SEARCH("✓",I80)))</formula>
    </cfRule>
  </conditionalFormatting>
  <conditionalFormatting sqref="I82:I83">
    <cfRule type="containsText" dxfId="201" priority="165" operator="containsText" text="⮽">
      <formula>NOT(ISERROR(SEARCH("⮽",I82)))</formula>
    </cfRule>
    <cfRule type="containsText" dxfId="200" priority="166" operator="containsText" text="✓">
      <formula>NOT(ISERROR(SEARCH("✓",I82)))</formula>
    </cfRule>
  </conditionalFormatting>
  <conditionalFormatting sqref="I85">
    <cfRule type="containsText" dxfId="199" priority="144" operator="containsText" text="✓">
      <formula>NOT(ISERROR(SEARCH("✓",I85)))</formula>
    </cfRule>
    <cfRule type="containsText" dxfId="198" priority="143" operator="containsText" text="⮽">
      <formula>NOT(ISERROR(SEARCH("⮽",I85)))</formula>
    </cfRule>
  </conditionalFormatting>
  <conditionalFormatting sqref="J39:O47 D48:O48">
    <cfRule type="containsText" dxfId="197" priority="320" operator="containsText" text="⮽">
      <formula>NOT(ISERROR(SEARCH("⮽",D39)))</formula>
    </cfRule>
    <cfRule type="containsText" dxfId="196" priority="321" operator="containsText" text="✓">
      <formula>NOT(ISERROR(SEARCH("✓",D39)))</formula>
    </cfRule>
  </conditionalFormatting>
  <conditionalFormatting sqref="J49:O53 D54:O54">
    <cfRule type="containsText" dxfId="195" priority="306" operator="containsText" text="✓">
      <formula>NOT(ISERROR(SEARCH("✓",D49)))</formula>
    </cfRule>
    <cfRule type="containsText" dxfId="194" priority="305" operator="containsText" text="⮽">
      <formula>NOT(ISERROR(SEARCH("⮽",D49)))</formula>
    </cfRule>
  </conditionalFormatting>
  <conditionalFormatting sqref="J55:O63 D64:O64">
    <cfRule type="containsText" dxfId="193" priority="285" operator="containsText" text="⮽">
      <formula>NOT(ISERROR(SEARCH("⮽",D55)))</formula>
    </cfRule>
    <cfRule type="containsText" dxfId="192" priority="286" operator="containsText" text="✓">
      <formula>NOT(ISERROR(SEARCH("✓",D55)))</formula>
    </cfRule>
  </conditionalFormatting>
  <conditionalFormatting sqref="J65:O76">
    <cfRule type="containsText" dxfId="191" priority="271" operator="containsText" text="⮽">
      <formula>NOT(ISERROR(SEARCH("⮽",J65)))</formula>
    </cfRule>
    <cfRule type="containsText" dxfId="190" priority="272" operator="containsText" text="✓">
      <formula>NOT(ISERROR(SEARCH("✓",J65)))</formula>
    </cfRule>
  </conditionalFormatting>
  <conditionalFormatting sqref="J78:O86">
    <cfRule type="containsText" dxfId="189" priority="250" operator="containsText" text="⮽">
      <formula>NOT(ISERROR(SEARCH("⮽",J78)))</formula>
    </cfRule>
    <cfRule type="containsText" dxfId="188" priority="251" operator="containsText" text="✓">
      <formula>NOT(ISERROR(SEARCH("✓",J78)))</formula>
    </cfRule>
  </conditionalFormatting>
  <conditionalFormatting sqref="P2:P166">
    <cfRule type="cellIs" dxfId="187" priority="97" operator="equal">
      <formula>3</formula>
    </cfRule>
    <cfRule type="cellIs" dxfId="186" priority="98" operator="equal">
      <formula>2</formula>
    </cfRule>
    <cfRule type="cellIs" dxfId="185" priority="99" operator="equal">
      <formula>1</formula>
    </cfRule>
  </conditionalFormatting>
  <conditionalFormatting sqref="Q43">
    <cfRule type="containsText" dxfId="184" priority="138" operator="containsText" text="M">
      <formula>NOT(ISERROR(SEARCH("M",Q43)))</formula>
    </cfRule>
    <cfRule type="containsText" dxfId="183" priority="139" operator="containsText" text="L">
      <formula>NOT(ISERROR(SEARCH("L",Q43)))</formula>
    </cfRule>
    <cfRule type="containsText" dxfId="182" priority="140" operator="containsText" text="S">
      <formula>NOT(ISERROR(SEARCH("S",Q43)))</formula>
    </cfRule>
  </conditionalFormatting>
  <conditionalFormatting sqref="Q59">
    <cfRule type="containsText" dxfId="181" priority="20" operator="containsText" text="M">
      <formula>NOT(ISERROR(SEARCH("M",Q59)))</formula>
    </cfRule>
    <cfRule type="containsText" dxfId="180" priority="21" operator="containsText" text="L">
      <formula>NOT(ISERROR(SEARCH("L",Q59)))</formula>
    </cfRule>
    <cfRule type="containsText" dxfId="179" priority="22" operator="containsText" text="S">
      <formula>NOT(ISERROR(SEARCH("S",Q59)))</formula>
    </cfRule>
  </conditionalFormatting>
  <conditionalFormatting sqref="Q61:Q63">
    <cfRule type="containsText" dxfId="178" priority="17" operator="containsText" text="M">
      <formula>NOT(ISERROR(SEARCH("M",Q61)))</formula>
    </cfRule>
    <cfRule type="containsText" dxfId="177" priority="18" operator="containsText" text="L">
      <formula>NOT(ISERROR(SEARCH("L",Q61)))</formula>
    </cfRule>
    <cfRule type="containsText" dxfId="176" priority="19" operator="containsText" text="S">
      <formula>NOT(ISERROR(SEARCH("S",Q61)))</formula>
    </cfRule>
  </conditionalFormatting>
  <conditionalFormatting sqref="Q67:Q72">
    <cfRule type="containsText" dxfId="175" priority="104" operator="containsText" text="L">
      <formula>NOT(ISERROR(SEARCH("L",Q67)))</formula>
    </cfRule>
    <cfRule type="containsText" dxfId="174" priority="103" operator="containsText" text="M">
      <formula>NOT(ISERROR(SEARCH("M",Q67)))</formula>
    </cfRule>
    <cfRule type="containsText" dxfId="173" priority="105" operator="containsText" text="S">
      <formula>NOT(ISERROR(SEARCH("S",Q67)))</formula>
    </cfRule>
  </conditionalFormatting>
  <conditionalFormatting sqref="Q74">
    <cfRule type="containsText" dxfId="172" priority="102" operator="containsText" text="S">
      <formula>NOT(ISERROR(SEARCH("S",Q74)))</formula>
    </cfRule>
    <cfRule type="containsText" dxfId="171" priority="101" operator="containsText" text="L">
      <formula>NOT(ISERROR(SEARCH("L",Q74)))</formula>
    </cfRule>
    <cfRule type="containsText" dxfId="170" priority="100" operator="containsText" text="M">
      <formula>NOT(ISERROR(SEARCH("M",Q74)))</formula>
    </cfRule>
  </conditionalFormatting>
  <conditionalFormatting sqref="Q2:R42 R43">
    <cfRule type="containsText" dxfId="169" priority="318" operator="containsText" text="L">
      <formula>NOT(ISERROR(SEARCH("L",Q2)))</formula>
    </cfRule>
    <cfRule type="containsText" dxfId="168" priority="317" operator="containsText" text="M">
      <formula>NOT(ISERROR(SEARCH("M",Q2)))</formula>
    </cfRule>
    <cfRule type="containsText" dxfId="167" priority="319" operator="containsText" text="S">
      <formula>NOT(ISERROR(SEARCH("S",Q2)))</formula>
    </cfRule>
  </conditionalFormatting>
  <conditionalFormatting sqref="Q44:R58">
    <cfRule type="containsText" dxfId="166" priority="296" operator="containsText" text="M">
      <formula>NOT(ISERROR(SEARCH("M",Q44)))</formula>
    </cfRule>
    <cfRule type="containsText" dxfId="165" priority="298" operator="containsText" text="S">
      <formula>NOT(ISERROR(SEARCH("S",Q44)))</formula>
    </cfRule>
    <cfRule type="containsText" dxfId="164" priority="297" operator="containsText" text="L">
      <formula>NOT(ISERROR(SEARCH("L",Q44)))</formula>
    </cfRule>
  </conditionalFormatting>
  <conditionalFormatting sqref="Q60:R60">
    <cfRule type="containsText" dxfId="163" priority="287" operator="containsText" text="M">
      <formula>NOT(ISERROR(SEARCH("M",Q60)))</formula>
    </cfRule>
    <cfRule type="containsText" dxfId="162" priority="288" operator="containsText" text="L">
      <formula>NOT(ISERROR(SEARCH("L",Q60)))</formula>
    </cfRule>
    <cfRule type="containsText" dxfId="161" priority="289" operator="containsText" text="S">
      <formula>NOT(ISERROR(SEARCH("S",Q60)))</formula>
    </cfRule>
  </conditionalFormatting>
  <conditionalFormatting sqref="Q75:R166">
    <cfRule type="containsText" dxfId="160" priority="241" operator="containsText" text="M">
      <formula>NOT(ISERROR(SEARCH("M",Q75)))</formula>
    </cfRule>
    <cfRule type="containsText" dxfId="159" priority="243" operator="containsText" text="S">
      <formula>NOT(ISERROR(SEARCH("S",Q75)))</formula>
    </cfRule>
    <cfRule type="containsText" dxfId="158" priority="242" operator="containsText" text="L">
      <formula>NOT(ISERROR(SEARCH("L",Q75)))</formula>
    </cfRule>
  </conditionalFormatting>
  <conditionalFormatting sqref="R59 Q73:R73">
    <cfRule type="containsText" dxfId="157" priority="377" operator="containsText" text="M">
      <formula>NOT(ISERROR(SEARCH("M",Q59)))</formula>
    </cfRule>
    <cfRule type="containsText" dxfId="156" priority="378" operator="containsText" text="L">
      <formula>NOT(ISERROR(SEARCH("L",Q59)))</formula>
    </cfRule>
    <cfRule type="containsText" dxfId="155" priority="379" operator="containsText" text="S">
      <formula>NOT(ISERROR(SEARCH("S",Q59)))</formula>
    </cfRule>
  </conditionalFormatting>
  <conditionalFormatting sqref="R61:R63 Q64:R66">
    <cfRule type="containsText" dxfId="154" priority="284" operator="containsText" text="S">
      <formula>NOT(ISERROR(SEARCH("S",Q61)))</formula>
    </cfRule>
    <cfRule type="containsText" dxfId="153" priority="282" operator="containsText" text="M">
      <formula>NOT(ISERROR(SEARCH("M",Q61)))</formula>
    </cfRule>
    <cfRule type="containsText" dxfId="152" priority="283" operator="containsText" text="L">
      <formula>NOT(ISERROR(SEARCH("L",Q61)))</formula>
    </cfRule>
  </conditionalFormatting>
  <conditionalFormatting sqref="R67:R72">
    <cfRule type="containsText" dxfId="151" priority="275" operator="containsText" text="S">
      <formula>NOT(ISERROR(SEARCH("S",R67)))</formula>
    </cfRule>
    <cfRule type="containsText" dxfId="150" priority="273" operator="containsText" text="M">
      <formula>NOT(ISERROR(SEARCH("M",R67)))</formula>
    </cfRule>
    <cfRule type="containsText" dxfId="149" priority="274" operator="containsText" text="L">
      <formula>NOT(ISERROR(SEARCH("L",R67)))</formula>
    </cfRule>
  </conditionalFormatting>
  <conditionalFormatting sqref="R74">
    <cfRule type="containsText" dxfId="148" priority="269" operator="containsText" text="L">
      <formula>NOT(ISERROR(SEARCH("L",R74)))</formula>
    </cfRule>
    <cfRule type="containsText" dxfId="147" priority="270" operator="containsText" text="S">
      <formula>NOT(ISERROR(SEARCH("S",R74)))</formula>
    </cfRule>
    <cfRule type="containsText" dxfId="146" priority="268" operator="containsText" text="M">
      <formula>NOT(ISERROR(SEARCH("M",R74)))</formula>
    </cfRule>
  </conditionalFormatting>
  <conditionalFormatting sqref="S40">
    <cfRule type="cellIs" dxfId="145" priority="201" operator="equal">
      <formula>"EST"</formula>
    </cfRule>
    <cfRule type="containsText" dxfId="144" priority="202" operator="containsText" text="CST">
      <formula>NOT(ISERROR(SEARCH("CST",S40)))</formula>
    </cfRule>
    <cfRule type="containsText" dxfId="143" priority="203" operator="containsText" text="MST">
      <formula>NOT(ISERROR(SEARCH("MST",S40)))</formula>
    </cfRule>
    <cfRule type="containsText" dxfId="142" priority="204" operator="containsText" text="PST">
      <formula>NOT(ISERROR(SEARCH("PST",S40)))</formula>
    </cfRule>
  </conditionalFormatting>
  <conditionalFormatting sqref="S43:S47">
    <cfRule type="containsText" dxfId="141" priority="135" operator="containsText" text="PST">
      <formula>NOT(ISERROR(SEARCH("PST",S43)))</formula>
    </cfRule>
    <cfRule type="containsText" dxfId="140" priority="134" operator="containsText" text="MST">
      <formula>NOT(ISERROR(SEARCH("MST",S43)))</formula>
    </cfRule>
    <cfRule type="containsText" dxfId="139" priority="133" operator="containsText" text="CST">
      <formula>NOT(ISERROR(SEARCH("CST",S43)))</formula>
    </cfRule>
    <cfRule type="cellIs" dxfId="138" priority="132" operator="equal">
      <formula>"EST"</formula>
    </cfRule>
  </conditionalFormatting>
  <conditionalFormatting sqref="S50:S51">
    <cfRule type="containsText" dxfId="137" priority="58" operator="containsText" text="PST">
      <formula>NOT(ISERROR(SEARCH("PST",S50)))</formula>
    </cfRule>
    <cfRule type="containsText" dxfId="136" priority="56" operator="containsText" text="CST">
      <formula>NOT(ISERROR(SEARCH("CST",S50)))</formula>
    </cfRule>
    <cfRule type="cellIs" dxfId="135" priority="55" operator="equal">
      <formula>"EST"</formula>
    </cfRule>
    <cfRule type="containsText" dxfId="134" priority="57" operator="containsText" text="MST">
      <formula>NOT(ISERROR(SEARCH("MST",S50)))</formula>
    </cfRule>
  </conditionalFormatting>
  <conditionalFormatting sqref="S53">
    <cfRule type="cellIs" dxfId="133" priority="59" operator="equal">
      <formula>"EST"</formula>
    </cfRule>
    <cfRule type="containsText" dxfId="132" priority="60" operator="containsText" text="CST">
      <formula>NOT(ISERROR(SEARCH("CST",S53)))</formula>
    </cfRule>
    <cfRule type="containsText" dxfId="131" priority="61" operator="containsText" text="MST">
      <formula>NOT(ISERROR(SEARCH("MST",S53)))</formula>
    </cfRule>
    <cfRule type="containsText" dxfId="130" priority="62" operator="containsText" text="PST">
      <formula>NOT(ISERROR(SEARCH("PST",S53)))</formula>
    </cfRule>
  </conditionalFormatting>
  <conditionalFormatting sqref="S55:S57">
    <cfRule type="containsText" dxfId="129" priority="34" operator="containsText" text="PST">
      <formula>NOT(ISERROR(SEARCH("PST",S55)))</formula>
    </cfRule>
    <cfRule type="containsText" dxfId="128" priority="33" operator="containsText" text="MST">
      <formula>NOT(ISERROR(SEARCH("MST",S55)))</formula>
    </cfRule>
    <cfRule type="cellIs" dxfId="127" priority="31" operator="equal">
      <formula>"EST"</formula>
    </cfRule>
    <cfRule type="containsText" dxfId="126" priority="32" operator="containsText" text="CST">
      <formula>NOT(ISERROR(SEARCH("CST",S55)))</formula>
    </cfRule>
  </conditionalFormatting>
  <conditionalFormatting sqref="S59:S63">
    <cfRule type="containsText" dxfId="125" priority="16" operator="containsText" text="PST">
      <formula>NOT(ISERROR(SEARCH("PST",S59)))</formula>
    </cfRule>
    <cfRule type="containsText" dxfId="124" priority="15" operator="containsText" text="MST">
      <formula>NOT(ISERROR(SEARCH("MST",S59)))</formula>
    </cfRule>
    <cfRule type="containsText" dxfId="123" priority="14" operator="containsText" text="CST">
      <formula>NOT(ISERROR(SEARCH("CST",S59)))</formula>
    </cfRule>
    <cfRule type="cellIs" dxfId="122" priority="13" operator="equal">
      <formula>"EST"</formula>
    </cfRule>
  </conditionalFormatting>
  <conditionalFormatting sqref="S67:S76">
    <cfRule type="containsText" dxfId="121" priority="107" operator="containsText" text="CST">
      <formula>NOT(ISERROR(SEARCH("CST",S67)))</formula>
    </cfRule>
    <cfRule type="cellIs" dxfId="120" priority="106" operator="equal">
      <formula>"EST"</formula>
    </cfRule>
    <cfRule type="containsText" dxfId="119" priority="109" operator="containsText" text="PST">
      <formula>NOT(ISERROR(SEARCH("PST",S67)))</formula>
    </cfRule>
    <cfRule type="containsText" dxfId="118" priority="108" operator="containsText" text="MST">
      <formula>NOT(ISERROR(SEARCH("MST",S67)))</formula>
    </cfRule>
  </conditionalFormatting>
  <conditionalFormatting sqref="S78">
    <cfRule type="containsText" dxfId="117" priority="200" operator="containsText" text="PST">
      <formula>NOT(ISERROR(SEARCH("PST",S78)))</formula>
    </cfRule>
    <cfRule type="containsText" dxfId="116" priority="199" operator="containsText" text="MST">
      <formula>NOT(ISERROR(SEARCH("MST",S78)))</formula>
    </cfRule>
    <cfRule type="containsText" dxfId="115" priority="198" operator="containsText" text="CST">
      <formula>NOT(ISERROR(SEARCH("CST",S78)))</formula>
    </cfRule>
    <cfRule type="cellIs" dxfId="114" priority="197" operator="equal">
      <formula>"EST"</formula>
    </cfRule>
  </conditionalFormatting>
  <conditionalFormatting sqref="S81">
    <cfRule type="containsText" dxfId="113" priority="195" operator="containsText" text="MST">
      <formula>NOT(ISERROR(SEARCH("MST",S81)))</formula>
    </cfRule>
    <cfRule type="cellIs" dxfId="112" priority="193" operator="equal">
      <formula>"EST"</formula>
    </cfRule>
    <cfRule type="containsText" dxfId="111" priority="194" operator="containsText" text="CST">
      <formula>NOT(ISERROR(SEARCH("CST",S81)))</formula>
    </cfRule>
    <cfRule type="containsText" dxfId="110" priority="196" operator="containsText" text="PST">
      <formula>NOT(ISERROR(SEARCH("PST",S81)))</formula>
    </cfRule>
  </conditionalFormatting>
  <conditionalFormatting sqref="S83:S86">
    <cfRule type="cellIs" dxfId="109" priority="189" operator="equal">
      <formula>"EST"</formula>
    </cfRule>
    <cfRule type="containsText" dxfId="108" priority="192" operator="containsText" text="PST">
      <formula>NOT(ISERROR(SEARCH("PST",S83)))</formula>
    </cfRule>
    <cfRule type="containsText" dxfId="107" priority="190" operator="containsText" text="CST">
      <formula>NOT(ISERROR(SEARCH("CST",S83)))</formula>
    </cfRule>
    <cfRule type="containsText" dxfId="106" priority="191" operator="containsText" text="MST">
      <formula>NOT(ISERROR(SEARCH("MST",S83)))</formula>
    </cfRule>
  </conditionalFormatting>
  <conditionalFormatting sqref="S39:T39 S49:T49 S52:T52 U67:U76 S79:V80 T81:V81 S82:V82">
    <cfRule type="containsText" dxfId="105" priority="375" operator="containsText" text="MST">
      <formula>NOT(ISERROR(SEARCH("MST",S39)))</formula>
    </cfRule>
    <cfRule type="containsText" dxfId="104" priority="376" operator="containsText" text="PST">
      <formula>NOT(ISERROR(SEARCH("PST",S39)))</formula>
    </cfRule>
  </conditionalFormatting>
  <conditionalFormatting sqref="S2:V38">
    <cfRule type="containsText" dxfId="103" priority="331" operator="containsText" text="PST">
      <formula>NOT(ISERROR(SEARCH("PST",S2)))</formula>
    </cfRule>
    <cfRule type="containsText" dxfId="102" priority="330" operator="containsText" text="MST">
      <formula>NOT(ISERROR(SEARCH("MST",S2)))</formula>
    </cfRule>
    <cfRule type="containsText" dxfId="101" priority="329" operator="containsText" text="CST">
      <formula>NOT(ISERROR(SEARCH("CST",S2)))</formula>
    </cfRule>
    <cfRule type="cellIs" dxfId="100" priority="328" operator="equal">
      <formula>"EST"</formula>
    </cfRule>
  </conditionalFormatting>
  <conditionalFormatting sqref="S77:V77">
    <cfRule type="cellIs" dxfId="99" priority="256" operator="equal">
      <formula>"EST"</formula>
    </cfRule>
    <cfRule type="containsText" dxfId="98" priority="259" operator="containsText" text="PST">
      <formula>NOT(ISERROR(SEARCH("PST",S77)))</formula>
    </cfRule>
    <cfRule type="containsText" dxfId="97" priority="258" operator="containsText" text="MST">
      <formula>NOT(ISERROR(SEARCH("MST",S77)))</formula>
    </cfRule>
    <cfRule type="containsText" dxfId="96" priority="257" operator="containsText" text="CST">
      <formula>NOT(ISERROR(SEARCH("CST",S77)))</formula>
    </cfRule>
  </conditionalFormatting>
  <conditionalFormatting sqref="S87:V166 B2:B166">
    <cfRule type="containsText" dxfId="95" priority="238" operator="containsText" text="CST">
      <formula>NOT(ISERROR(SEARCH("CST",B2)))</formula>
    </cfRule>
    <cfRule type="cellIs" dxfId="94" priority="237" operator="equal">
      <formula>"EST"</formula>
    </cfRule>
  </conditionalFormatting>
  <conditionalFormatting sqref="T40">
    <cfRule type="cellIs" dxfId="93" priority="322" operator="equal">
      <formula>"EST"</formula>
    </cfRule>
    <cfRule type="containsText" dxfId="92" priority="323" operator="containsText" text="CST">
      <formula>NOT(ISERROR(SEARCH("CST",T40)))</formula>
    </cfRule>
    <cfRule type="containsText" dxfId="91" priority="324" operator="containsText" text="MST">
      <formula>NOT(ISERROR(SEARCH("MST",T40)))</formula>
    </cfRule>
    <cfRule type="containsText" dxfId="90" priority="325" operator="containsText" text="PST">
      <formula>NOT(ISERROR(SEARCH("PST",T40)))</formula>
    </cfRule>
  </conditionalFormatting>
  <conditionalFormatting sqref="T50:T51">
    <cfRule type="cellIs" dxfId="89" priority="307" operator="equal">
      <formula>"EST"</formula>
    </cfRule>
    <cfRule type="containsText" dxfId="88" priority="308" operator="containsText" text="CST">
      <formula>NOT(ISERROR(SEARCH("CST",T50)))</formula>
    </cfRule>
    <cfRule type="containsText" dxfId="87" priority="309" operator="containsText" text="MST">
      <formula>NOT(ISERROR(SEARCH("MST",T50)))</formula>
    </cfRule>
    <cfRule type="containsText" dxfId="86" priority="310" operator="containsText" text="PST">
      <formula>NOT(ISERROR(SEARCH("PST",T50)))</formula>
    </cfRule>
  </conditionalFormatting>
  <conditionalFormatting sqref="T55:T57 V55:V57 S58:V58">
    <cfRule type="containsText" dxfId="85" priority="294" operator="containsText" text="MST">
      <formula>NOT(ISERROR(SEARCH("MST",S55)))</formula>
    </cfRule>
    <cfRule type="containsText" dxfId="84" priority="295" operator="containsText" text="PST">
      <formula>NOT(ISERROR(SEARCH("PST",S55)))</formula>
    </cfRule>
  </conditionalFormatting>
  <conditionalFormatting sqref="T59:T63 V59:V63 S64:V66">
    <cfRule type="containsText" dxfId="83" priority="280" operator="containsText" text="MST">
      <formula>NOT(ISERROR(SEARCH("MST",S59)))</formula>
    </cfRule>
    <cfRule type="containsText" dxfId="82" priority="281" operator="containsText" text="PST">
      <formula>NOT(ISERROR(SEARCH("PST",S59)))</formula>
    </cfRule>
  </conditionalFormatting>
  <conditionalFormatting sqref="T67:T76 V67:V76">
    <cfRule type="containsText" dxfId="81" priority="266" operator="containsText" text="MST">
      <formula>NOT(ISERROR(SEARCH("MST",T67)))</formula>
    </cfRule>
    <cfRule type="containsText" dxfId="80" priority="267" operator="containsText" text="PST">
      <formula>NOT(ISERROR(SEARCH("PST",T67)))</formula>
    </cfRule>
  </conditionalFormatting>
  <conditionalFormatting sqref="T78:V78">
    <cfRule type="containsText" dxfId="79" priority="255" operator="containsText" text="PST">
      <formula>NOT(ISERROR(SEARCH("PST",T78)))</formula>
    </cfRule>
    <cfRule type="cellIs" dxfId="78" priority="252" operator="equal">
      <formula>"EST"</formula>
    </cfRule>
    <cfRule type="containsText" dxfId="77" priority="254" operator="containsText" text="MST">
      <formula>NOT(ISERROR(SEARCH("MST",T78)))</formula>
    </cfRule>
    <cfRule type="containsText" dxfId="76" priority="253" operator="containsText" text="CST">
      <formula>NOT(ISERROR(SEARCH("CST",T78)))</formula>
    </cfRule>
  </conditionalFormatting>
  <conditionalFormatting sqref="T83:V86">
    <cfRule type="containsText" dxfId="75" priority="247" operator="containsText" text="CST">
      <formula>NOT(ISERROR(SEARCH("CST",T83)))</formula>
    </cfRule>
    <cfRule type="containsText" dxfId="74" priority="249" operator="containsText" text="PST">
      <formula>NOT(ISERROR(SEARCH("PST",T83)))</formula>
    </cfRule>
    <cfRule type="containsText" dxfId="73" priority="248" operator="containsText" text="MST">
      <formula>NOT(ISERROR(SEARCH("MST",T83)))</formula>
    </cfRule>
    <cfRule type="cellIs" dxfId="72" priority="246" operator="equal">
      <formula>"EST"</formula>
    </cfRule>
  </conditionalFormatting>
  <conditionalFormatting sqref="U39:U42">
    <cfRule type="containsText" dxfId="71" priority="5" operator="containsText" text="MST">
      <formula>NOT(ISERROR(SEARCH("MST",U39)))</formula>
    </cfRule>
    <cfRule type="containsText" dxfId="70" priority="6" operator="containsText" text="PST">
      <formula>NOT(ISERROR(SEARCH("PST",U39)))</formula>
    </cfRule>
    <cfRule type="containsText" dxfId="69" priority="2" operator="containsText" text="Yes">
      <formula>NOT(ISERROR(SEARCH("Yes",U39)))</formula>
    </cfRule>
    <cfRule type="containsText" dxfId="68" priority="1" operator="containsText" text="No">
      <formula>NOT(ISERROR(SEARCH("No",U39)))</formula>
    </cfRule>
    <cfRule type="containsText" dxfId="67" priority="4" operator="containsText" text="CST">
      <formula>NOT(ISERROR(SEARCH("CST",U39)))</formula>
    </cfRule>
    <cfRule type="cellIs" dxfId="66" priority="3" operator="equal">
      <formula>"EST"</formula>
    </cfRule>
  </conditionalFormatting>
  <conditionalFormatting sqref="U49:U53">
    <cfRule type="containsText" dxfId="65" priority="49" operator="containsText" text="No">
      <formula>NOT(ISERROR(SEARCH("No",U49)))</formula>
    </cfRule>
    <cfRule type="containsText" dxfId="64" priority="50" operator="containsText" text="Yes">
      <formula>NOT(ISERROR(SEARCH("Yes",U49)))</formula>
    </cfRule>
    <cfRule type="cellIs" dxfId="63" priority="51" operator="equal">
      <formula>"EST"</formula>
    </cfRule>
    <cfRule type="containsText" dxfId="62" priority="53" operator="containsText" text="MST">
      <formula>NOT(ISERROR(SEARCH("MST",U49)))</formula>
    </cfRule>
    <cfRule type="containsText" dxfId="61" priority="52" operator="containsText" text="CST">
      <formula>NOT(ISERROR(SEARCH("CST",U49)))</formula>
    </cfRule>
    <cfRule type="containsText" dxfId="60" priority="54" operator="containsText" text="PST">
      <formula>NOT(ISERROR(SEARCH("PST",U49)))</formula>
    </cfRule>
  </conditionalFormatting>
  <conditionalFormatting sqref="U59:U63">
    <cfRule type="containsText" dxfId="59" priority="7" operator="containsText" text="No">
      <formula>NOT(ISERROR(SEARCH("No",U59)))</formula>
    </cfRule>
    <cfRule type="containsText" dxfId="58" priority="8" operator="containsText" text="Yes">
      <formula>NOT(ISERROR(SEARCH("Yes",U59)))</formula>
    </cfRule>
    <cfRule type="cellIs" dxfId="57" priority="9" operator="equal">
      <formula>"EST"</formula>
    </cfRule>
    <cfRule type="containsText" dxfId="56" priority="10" operator="containsText" text="CST">
      <formula>NOT(ISERROR(SEARCH("CST",U59)))</formula>
    </cfRule>
    <cfRule type="containsText" dxfId="55" priority="11" operator="containsText" text="MST">
      <formula>NOT(ISERROR(SEARCH("MST",U59)))</formula>
    </cfRule>
    <cfRule type="containsText" dxfId="54" priority="12" operator="containsText" text="PST">
      <formula>NOT(ISERROR(SEARCH("PST",U59)))</formula>
    </cfRule>
  </conditionalFormatting>
  <conditionalFormatting sqref="U67:U76 S79:V80 T81:V81 S82:V82 S39:T39 S49:T49 S52:T52">
    <cfRule type="containsText" dxfId="53" priority="374" operator="containsText" text="CST">
      <formula>NOT(ISERROR(SEARCH("CST",S39)))</formula>
    </cfRule>
    <cfRule type="cellIs" dxfId="52" priority="373" operator="equal">
      <formula>"EST"</formula>
    </cfRule>
  </conditionalFormatting>
  <conditionalFormatting sqref="U67:U76">
    <cfRule type="containsText" dxfId="51" priority="371" operator="containsText" text="No">
      <formula>NOT(ISERROR(SEARCH("No",U67)))</formula>
    </cfRule>
    <cfRule type="containsText" dxfId="50" priority="372" operator="containsText" text="Yes">
      <formula>NOT(ISERROR(SEARCH("Yes",U67)))</formula>
    </cfRule>
  </conditionalFormatting>
  <conditionalFormatting sqref="U2:V38">
    <cfRule type="containsText" dxfId="49" priority="326" operator="containsText" text="No">
      <formula>NOT(ISERROR(SEARCH("No",U2)))</formula>
    </cfRule>
    <cfRule type="containsText" dxfId="48" priority="327" operator="containsText" text="Yes">
      <formula>NOT(ISERROR(SEARCH("Yes",U2)))</formula>
    </cfRule>
  </conditionalFormatting>
  <conditionalFormatting sqref="U77:V166">
    <cfRule type="containsText" dxfId="47" priority="235" operator="containsText" text="No">
      <formula>NOT(ISERROR(SEARCH("No",U77)))</formula>
    </cfRule>
    <cfRule type="containsText" dxfId="46" priority="236" operator="containsText" text="Yes">
      <formula>NOT(ISERROR(SEARCH("Yes",U77)))</formula>
    </cfRule>
  </conditionalFormatting>
  <conditionalFormatting sqref="V39:V42 S41:T42 T43:V47 S48:V48">
    <cfRule type="containsText" dxfId="45" priority="315" operator="containsText" text="MST">
      <formula>NOT(ISERROR(SEARCH("MST",S39)))</formula>
    </cfRule>
    <cfRule type="containsText" dxfId="44" priority="316" operator="containsText" text="PST">
      <formula>NOT(ISERROR(SEARCH("PST",S39)))</formula>
    </cfRule>
  </conditionalFormatting>
  <conditionalFormatting sqref="V39:V42 T43:V47 S48:V48 S41:T42">
    <cfRule type="cellIs" dxfId="43" priority="313" operator="equal">
      <formula>"EST"</formula>
    </cfRule>
    <cfRule type="containsText" dxfId="42" priority="314" operator="containsText" text="CST">
      <formula>NOT(ISERROR(SEARCH("CST",S39)))</formula>
    </cfRule>
  </conditionalFormatting>
  <conditionalFormatting sqref="V39:V42 U43:V48">
    <cfRule type="containsText" dxfId="41" priority="312" operator="containsText" text="Yes">
      <formula>NOT(ISERROR(SEARCH("Yes",U39)))</formula>
    </cfRule>
    <cfRule type="containsText" dxfId="40" priority="311" operator="containsText" text="No">
      <formula>NOT(ISERROR(SEARCH("No",U39)))</formula>
    </cfRule>
  </conditionalFormatting>
  <conditionalFormatting sqref="V49:V53 S54:V54 U55:U57 T53">
    <cfRule type="containsText" dxfId="39" priority="302" operator="containsText" text="CST">
      <formula>NOT(ISERROR(SEARCH("CST",S49)))</formula>
    </cfRule>
    <cfRule type="cellIs" dxfId="38" priority="301" operator="equal">
      <formula>"EST"</formula>
    </cfRule>
  </conditionalFormatting>
  <conditionalFormatting sqref="V49:V53 T53 S54:V54 U55:U57">
    <cfRule type="containsText" dxfId="37" priority="303" operator="containsText" text="MST">
      <formula>NOT(ISERROR(SEARCH("MST",S49)))</formula>
    </cfRule>
    <cfRule type="containsText" dxfId="36" priority="304" operator="containsText" text="PST">
      <formula>NOT(ISERROR(SEARCH("PST",S49)))</formula>
    </cfRule>
  </conditionalFormatting>
  <conditionalFormatting sqref="V49:V53 U54:V54 U55:U57">
    <cfRule type="containsText" dxfId="35" priority="300" operator="containsText" text="Yes">
      <formula>NOT(ISERROR(SEARCH("Yes",U49)))</formula>
    </cfRule>
    <cfRule type="containsText" dxfId="34" priority="299" operator="containsText" text="No">
      <formula>NOT(ISERROR(SEARCH("No",U49)))</formula>
    </cfRule>
  </conditionalFormatting>
  <conditionalFormatting sqref="V55:V57 S58:V58 T55:T57">
    <cfRule type="cellIs" dxfId="33" priority="292" operator="equal">
      <formula>"EST"</formula>
    </cfRule>
    <cfRule type="containsText" dxfId="32" priority="293" operator="containsText" text="CST">
      <formula>NOT(ISERROR(SEARCH("CST",S55)))</formula>
    </cfRule>
  </conditionalFormatting>
  <conditionalFormatting sqref="V55:V57 U58:V58">
    <cfRule type="containsText" dxfId="31" priority="291" operator="containsText" text="Yes">
      <formula>NOT(ISERROR(SEARCH("Yes",U55)))</formula>
    </cfRule>
    <cfRule type="containsText" dxfId="30" priority="290" operator="containsText" text="No">
      <formula>NOT(ISERROR(SEARCH("No",U55)))</formula>
    </cfRule>
  </conditionalFormatting>
  <conditionalFormatting sqref="V59:V63 S64:V66 T59:T63">
    <cfRule type="cellIs" dxfId="29" priority="278" operator="equal">
      <formula>"EST"</formula>
    </cfRule>
    <cfRule type="containsText" dxfId="28" priority="279" operator="containsText" text="CST">
      <formula>NOT(ISERROR(SEARCH("CST",S59)))</formula>
    </cfRule>
  </conditionalFormatting>
  <conditionalFormatting sqref="V59:V63 U64:V66">
    <cfRule type="containsText" dxfId="27" priority="277" operator="containsText" text="Yes">
      <formula>NOT(ISERROR(SEARCH("Yes",U59)))</formula>
    </cfRule>
    <cfRule type="containsText" dxfId="26" priority="276" operator="containsText" text="No">
      <formula>NOT(ISERROR(SEARCH("No",U59)))</formula>
    </cfRule>
  </conditionalFormatting>
  <conditionalFormatting sqref="V67:V76 T67:T76">
    <cfRule type="containsText" dxfId="25" priority="265" operator="containsText" text="CST">
      <formula>NOT(ISERROR(SEARCH("CST",T67)))</formula>
    </cfRule>
    <cfRule type="cellIs" dxfId="24" priority="264" operator="equal">
      <formula>"EST"</formula>
    </cfRule>
  </conditionalFormatting>
  <conditionalFormatting sqref="V67:V76">
    <cfRule type="containsText" dxfId="23" priority="262" operator="containsText" text="No">
      <formula>NOT(ISERROR(SEARCH("No",V67)))</formula>
    </cfRule>
    <cfRule type="containsText" dxfId="22" priority="263" operator="containsText" text="Yes">
      <formula>NOT(ISERROR(SEARCH("Yes",V67)))</formula>
    </cfRule>
  </conditionalFormatting>
  <conditionalFormatting sqref="X2:X166">
    <cfRule type="containsText" dxfId="21" priority="232" operator="containsText" text="CST">
      <formula>NOT(ISERROR(SEARCH("CST",X2)))</formula>
    </cfRule>
    <cfRule type="containsText" dxfId="20" priority="233" operator="containsText" text="MST">
      <formula>NOT(ISERROR(SEARCH("MST",X2)))</formula>
    </cfRule>
    <cfRule type="containsText" dxfId="19" priority="234" operator="containsText" text="PST">
      <formula>NOT(ISERROR(SEARCH("PST",X2)))</formula>
    </cfRule>
    <cfRule type="containsText" dxfId="18" priority="229" operator="containsText" text="Yes">
      <formula>NOT(ISERROR(SEARCH("Yes",X2)))</formula>
    </cfRule>
    <cfRule type="cellIs" dxfId="17" priority="231" operator="equal">
      <formula>"EST"</formula>
    </cfRule>
    <cfRule type="containsText" dxfId="16" priority="230" operator="containsText" text="No">
      <formula>NOT(ISERROR(SEARCH("No",X2)))</formula>
    </cfRule>
  </conditionalFormatting>
  <dataValidations count="3">
    <dataValidation type="list" allowBlank="1" showInputMessage="1" showErrorMessage="1" sqref="Q2:Q166" xr:uid="{DAF4662C-009B-4775-B1E1-79805DC77DF8}">
      <formula1>"S,M,L"</formula1>
    </dataValidation>
    <dataValidation type="list" allowBlank="1" showInputMessage="1" showErrorMessage="1" sqref="P2:P166" xr:uid="{6FCF8B81-7B6E-4677-8AC1-848F33AFC409}">
      <formula1>"1,2,3"</formula1>
    </dataValidation>
    <dataValidation type="list" allowBlank="1" showInputMessage="1" showErrorMessage="1" sqref="U2:U166" xr:uid="{C60F54CF-2CF9-4D80-9CAF-EE2A7E1831D1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2064-F814-4AF7-8793-E9C893F0387B}">
  <dimension ref="A1"/>
  <sheetViews>
    <sheetView workbookViewId="0">
      <selection activeCell="M26" sqref="M26"/>
    </sheetView>
  </sheetViews>
  <sheetFormatPr defaultColWidth="8.83984375" defaultRowHeight="14.4" x14ac:dyDescent="0.5500000000000000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11F9-5625-41EE-B6C7-65A11FC0C0FD}">
  <dimension ref="A1:S120"/>
  <sheetViews>
    <sheetView topLeftCell="A72" workbookViewId="0">
      <selection activeCell="E7" sqref="E7"/>
    </sheetView>
  </sheetViews>
  <sheetFormatPr defaultColWidth="8.83984375" defaultRowHeight="14.4" x14ac:dyDescent="0.55000000000000004"/>
  <cols>
    <col min="1" max="1" width="31.83984375" customWidth="1"/>
    <col min="2" max="2" width="29" customWidth="1"/>
    <col min="3" max="3" width="26.41796875" customWidth="1"/>
    <col min="4" max="4" width="37.15625" customWidth="1"/>
    <col min="5" max="5" width="32.26171875" customWidth="1"/>
    <col min="6" max="6" width="38.41796875" customWidth="1"/>
    <col min="7" max="7" width="36.15625" bestFit="1" customWidth="1"/>
    <col min="8" max="8" width="44.83984375" customWidth="1"/>
    <col min="9" max="9" width="16" bestFit="1" customWidth="1"/>
    <col min="10" max="10" width="12.68359375" bestFit="1" customWidth="1"/>
    <col min="11" max="11" width="36.26171875" bestFit="1" customWidth="1"/>
    <col min="12" max="12" width="17.15625" bestFit="1" customWidth="1"/>
    <col min="13" max="13" width="15.15625" bestFit="1" customWidth="1"/>
    <col min="14" max="15" width="12.83984375" customWidth="1"/>
    <col min="16" max="16" width="17.83984375" customWidth="1"/>
    <col min="18" max="18" width="23.41796875" customWidth="1"/>
    <col min="19" max="19" width="22.41796875" customWidth="1"/>
  </cols>
  <sheetData>
    <row r="1" spans="1:11" x14ac:dyDescent="0.55000000000000004">
      <c r="A1" s="224" t="s">
        <v>689</v>
      </c>
      <c r="B1" s="223" t="s">
        <v>690</v>
      </c>
      <c r="C1" s="221" t="s">
        <v>691</v>
      </c>
      <c r="D1" s="221"/>
      <c r="E1" s="71" t="s">
        <v>692</v>
      </c>
      <c r="F1" s="222" t="s">
        <v>693</v>
      </c>
      <c r="G1" s="221" t="s">
        <v>694</v>
      </c>
      <c r="H1" s="217" t="s">
        <v>355</v>
      </c>
    </row>
    <row r="2" spans="1:11" ht="15.75" customHeight="1" x14ac:dyDescent="0.55000000000000004">
      <c r="A2" s="225"/>
      <c r="B2" s="226"/>
      <c r="C2" s="67" t="s">
        <v>695</v>
      </c>
      <c r="D2" s="67" t="s">
        <v>696</v>
      </c>
      <c r="E2" s="72" t="s">
        <v>697</v>
      </c>
      <c r="F2" s="223"/>
      <c r="G2" s="221"/>
      <c r="H2" s="218" t="s">
        <v>355</v>
      </c>
      <c r="J2" s="49" t="s">
        <v>698</v>
      </c>
    </row>
    <row r="3" spans="1:11" ht="15.75" customHeight="1" x14ac:dyDescent="0.55000000000000004">
      <c r="A3" s="210" t="s">
        <v>699</v>
      </c>
      <c r="B3" s="219" t="s">
        <v>700</v>
      </c>
      <c r="C3" s="74" t="s">
        <v>701</v>
      </c>
      <c r="D3" s="74" t="s">
        <v>702</v>
      </c>
      <c r="E3" s="74"/>
      <c r="F3" s="74" t="s">
        <v>703</v>
      </c>
      <c r="G3" s="68" t="s">
        <v>704</v>
      </c>
      <c r="H3" s="74" t="s">
        <v>705</v>
      </c>
      <c r="J3" s="63">
        <f>COUNTIF(G3:G93,"=Active Projects/Program")</f>
        <v>41</v>
      </c>
      <c r="K3" s="50" t="s">
        <v>704</v>
      </c>
    </row>
    <row r="4" spans="1:11" ht="15.75" customHeight="1" x14ac:dyDescent="0.55000000000000004">
      <c r="A4" s="210"/>
      <c r="B4" s="220"/>
      <c r="C4" s="74" t="s">
        <v>706</v>
      </c>
      <c r="D4" s="74" t="s">
        <v>707</v>
      </c>
      <c r="E4" s="74"/>
      <c r="F4" s="74"/>
      <c r="G4" s="68" t="s">
        <v>704</v>
      </c>
      <c r="H4" s="74"/>
      <c r="J4" s="63">
        <f>COUNTIF(G3:G93,"=Waiting for Next Project")</f>
        <v>24</v>
      </c>
      <c r="K4" s="50" t="s">
        <v>708</v>
      </c>
    </row>
    <row r="5" spans="1:11" ht="15.75" customHeight="1" x14ac:dyDescent="0.55000000000000004">
      <c r="A5" s="193" t="s">
        <v>709</v>
      </c>
      <c r="B5" s="196" t="s">
        <v>710</v>
      </c>
      <c r="C5" s="75" t="s">
        <v>711</v>
      </c>
      <c r="D5" s="76" t="s">
        <v>712</v>
      </c>
      <c r="E5" s="76"/>
      <c r="F5" s="52"/>
      <c r="G5" s="68" t="s">
        <v>704</v>
      </c>
      <c r="H5" s="52"/>
      <c r="J5" s="63">
        <f>COUNTIF(G3:G93,"=Pursuing Pilot")</f>
        <v>12</v>
      </c>
      <c r="K5" s="50" t="s">
        <v>713</v>
      </c>
    </row>
    <row r="6" spans="1:11" ht="15.75" customHeight="1" x14ac:dyDescent="0.55000000000000004">
      <c r="A6" s="193"/>
      <c r="B6" s="196"/>
      <c r="C6" s="77" t="s">
        <v>714</v>
      </c>
      <c r="D6" s="78" t="s">
        <v>715</v>
      </c>
      <c r="E6" s="78"/>
      <c r="F6" s="50"/>
      <c r="G6" s="51" t="s">
        <v>708</v>
      </c>
      <c r="H6" s="50"/>
      <c r="J6" s="63">
        <f>COUNTIF(G3:G93,"=Pursuing Introduction")</f>
        <v>4</v>
      </c>
      <c r="K6" s="65" t="s">
        <v>716</v>
      </c>
    </row>
    <row r="7" spans="1:11" ht="15.75" customHeight="1" x14ac:dyDescent="0.55000000000000004">
      <c r="A7" s="193"/>
      <c r="B7" s="196"/>
      <c r="C7" s="77" t="s">
        <v>717</v>
      </c>
      <c r="D7" s="78" t="s">
        <v>718</v>
      </c>
      <c r="E7" s="78"/>
      <c r="F7" s="50"/>
      <c r="G7" s="51" t="s">
        <v>708</v>
      </c>
      <c r="H7" s="50"/>
      <c r="J7" s="64">
        <f>COUNTIF(G3:G94,"=-")</f>
        <v>7</v>
      </c>
      <c r="K7" s="50" t="s">
        <v>719</v>
      </c>
    </row>
    <row r="8" spans="1:11" ht="15.75" customHeight="1" x14ac:dyDescent="0.55000000000000004">
      <c r="A8" s="193"/>
      <c r="B8" s="196"/>
      <c r="C8" s="77" t="s">
        <v>720</v>
      </c>
      <c r="D8" s="78"/>
      <c r="E8" s="78"/>
      <c r="F8" s="50"/>
      <c r="G8" s="51" t="s">
        <v>708</v>
      </c>
      <c r="H8" s="50"/>
    </row>
    <row r="9" spans="1:11" ht="15.75" customHeight="1" x14ac:dyDescent="0.55000000000000004">
      <c r="A9" s="214" t="s">
        <v>481</v>
      </c>
      <c r="B9" s="205" t="s">
        <v>721</v>
      </c>
      <c r="C9" s="77" t="s">
        <v>722</v>
      </c>
      <c r="D9" s="78" t="s">
        <v>85</v>
      </c>
      <c r="E9" s="78"/>
      <c r="F9" s="50" t="s">
        <v>723</v>
      </c>
      <c r="G9" s="51" t="s">
        <v>708</v>
      </c>
      <c r="H9" s="50"/>
      <c r="J9" s="69">
        <v>22</v>
      </c>
      <c r="K9" s="65" t="s">
        <v>724</v>
      </c>
    </row>
    <row r="10" spans="1:11" ht="15.75" customHeight="1" x14ac:dyDescent="0.55000000000000004">
      <c r="A10" s="215"/>
      <c r="B10" s="206"/>
      <c r="C10" s="79" t="s">
        <v>725</v>
      </c>
      <c r="D10" s="78" t="s">
        <v>726</v>
      </c>
      <c r="E10" s="78"/>
      <c r="F10" s="50" t="s">
        <v>727</v>
      </c>
      <c r="G10" s="51" t="s">
        <v>713</v>
      </c>
      <c r="H10" s="50" t="s">
        <v>728</v>
      </c>
    </row>
    <row r="11" spans="1:11" ht="15.75" customHeight="1" x14ac:dyDescent="0.55000000000000004">
      <c r="A11" s="215"/>
      <c r="B11" s="206"/>
      <c r="C11" s="79" t="s">
        <v>729</v>
      </c>
      <c r="D11" s="78" t="s">
        <v>715</v>
      </c>
      <c r="E11" s="78"/>
      <c r="F11" s="50" t="s">
        <v>727</v>
      </c>
      <c r="G11" s="51" t="s">
        <v>713</v>
      </c>
      <c r="H11" s="50" t="s">
        <v>730</v>
      </c>
    </row>
    <row r="12" spans="1:11" ht="15.75" customHeight="1" x14ac:dyDescent="0.55000000000000004">
      <c r="A12" s="215"/>
      <c r="B12" s="206"/>
      <c r="C12" s="77" t="s">
        <v>731</v>
      </c>
      <c r="D12" s="78" t="s">
        <v>154</v>
      </c>
      <c r="E12" s="78"/>
      <c r="F12" s="50"/>
      <c r="G12" s="51" t="s">
        <v>716</v>
      </c>
      <c r="H12" s="50" t="s">
        <v>732</v>
      </c>
    </row>
    <row r="13" spans="1:11" ht="15.75" customHeight="1" x14ac:dyDescent="0.55000000000000004">
      <c r="A13" s="215"/>
      <c r="B13" s="206"/>
      <c r="C13" s="77" t="s">
        <v>733</v>
      </c>
      <c r="D13" s="78" t="s">
        <v>734</v>
      </c>
      <c r="E13" s="78"/>
      <c r="F13" s="50"/>
      <c r="G13" s="51" t="s">
        <v>716</v>
      </c>
      <c r="H13" s="50" t="s">
        <v>732</v>
      </c>
    </row>
    <row r="14" spans="1:11" ht="15.75" customHeight="1" x14ac:dyDescent="0.55000000000000004">
      <c r="A14" s="215"/>
      <c r="B14" s="206"/>
      <c r="C14" s="77" t="s">
        <v>735</v>
      </c>
      <c r="D14" s="78" t="s">
        <v>85</v>
      </c>
      <c r="E14" s="78"/>
      <c r="F14" s="50"/>
      <c r="G14" s="51" t="s">
        <v>716</v>
      </c>
      <c r="H14" s="50"/>
    </row>
    <row r="15" spans="1:11" ht="15.75" customHeight="1" x14ac:dyDescent="0.55000000000000004">
      <c r="A15" s="216"/>
      <c r="B15" s="207"/>
      <c r="C15" s="77" t="s">
        <v>736</v>
      </c>
      <c r="D15" s="78" t="s">
        <v>85</v>
      </c>
      <c r="E15" s="78"/>
      <c r="F15" s="50" t="s">
        <v>737</v>
      </c>
      <c r="G15" s="51" t="s">
        <v>713</v>
      </c>
      <c r="H15" s="50" t="s">
        <v>738</v>
      </c>
    </row>
    <row r="16" spans="1:11" ht="15.75" customHeight="1" x14ac:dyDescent="0.55000000000000004">
      <c r="A16" s="192" t="s">
        <v>739</v>
      </c>
      <c r="B16" s="70" t="s">
        <v>740</v>
      </c>
      <c r="C16" s="77" t="s">
        <v>741</v>
      </c>
      <c r="D16" s="78" t="s">
        <v>742</v>
      </c>
      <c r="E16" s="78"/>
      <c r="F16" s="50" t="s">
        <v>743</v>
      </c>
      <c r="G16" s="51" t="s">
        <v>704</v>
      </c>
      <c r="H16" s="50"/>
    </row>
    <row r="17" spans="1:9" ht="15.75" customHeight="1" x14ac:dyDescent="0.55000000000000004">
      <c r="A17" s="212"/>
      <c r="B17" s="80" t="s">
        <v>744</v>
      </c>
      <c r="C17" s="81" t="s">
        <v>745</v>
      </c>
      <c r="D17" s="78" t="s">
        <v>746</v>
      </c>
      <c r="E17" s="78"/>
      <c r="F17" s="50" t="s">
        <v>743</v>
      </c>
      <c r="G17" s="51" t="s">
        <v>704</v>
      </c>
      <c r="H17" s="50"/>
    </row>
    <row r="18" spans="1:9" ht="15.75" customHeight="1" x14ac:dyDescent="0.55000000000000004">
      <c r="A18" s="212"/>
      <c r="B18" s="80" t="s">
        <v>747</v>
      </c>
      <c r="C18" s="81" t="s">
        <v>748</v>
      </c>
      <c r="D18" s="78"/>
      <c r="E18" s="78"/>
      <c r="F18" s="50" t="s">
        <v>743</v>
      </c>
      <c r="G18" s="51" t="s">
        <v>704</v>
      </c>
      <c r="H18" s="50"/>
    </row>
    <row r="19" spans="1:9" ht="15.75" customHeight="1" x14ac:dyDescent="0.55000000000000004">
      <c r="A19" s="213"/>
      <c r="B19" s="80" t="s">
        <v>749</v>
      </c>
      <c r="C19" s="81" t="s">
        <v>750</v>
      </c>
      <c r="D19" s="78"/>
      <c r="E19" s="78"/>
      <c r="F19" s="50" t="s">
        <v>743</v>
      </c>
      <c r="G19" s="51" t="s">
        <v>704</v>
      </c>
      <c r="H19" s="50"/>
    </row>
    <row r="20" spans="1:9" ht="15.75" customHeight="1" x14ac:dyDescent="0.55000000000000004">
      <c r="A20" s="192" t="s">
        <v>751</v>
      </c>
      <c r="B20" s="82" t="s">
        <v>752</v>
      </c>
      <c r="C20" s="77" t="s">
        <v>753</v>
      </c>
      <c r="D20" s="78" t="s">
        <v>715</v>
      </c>
      <c r="E20" s="78"/>
      <c r="F20" s="50" t="s">
        <v>754</v>
      </c>
      <c r="G20" s="51" t="s">
        <v>704</v>
      </c>
      <c r="H20" s="50"/>
      <c r="I20" t="s">
        <v>755</v>
      </c>
    </row>
    <row r="21" spans="1:9" ht="15.75" customHeight="1" x14ac:dyDescent="0.55000000000000004">
      <c r="A21" s="193"/>
      <c r="B21" s="82"/>
      <c r="C21" s="77" t="s">
        <v>756</v>
      </c>
      <c r="D21" s="78"/>
      <c r="E21" s="78"/>
      <c r="F21" s="50"/>
      <c r="G21" s="51" t="s">
        <v>708</v>
      </c>
      <c r="H21" s="50" t="s">
        <v>757</v>
      </c>
    </row>
    <row r="22" spans="1:9" ht="15.75" customHeight="1" x14ac:dyDescent="0.55000000000000004">
      <c r="A22" s="193"/>
      <c r="B22" s="82" t="s">
        <v>758</v>
      </c>
      <c r="C22" s="77" t="s">
        <v>759</v>
      </c>
      <c r="D22" s="78" t="s">
        <v>760</v>
      </c>
      <c r="E22" s="78"/>
      <c r="F22" s="50"/>
      <c r="G22" s="51" t="s">
        <v>708</v>
      </c>
      <c r="H22" s="50" t="s">
        <v>761</v>
      </c>
    </row>
    <row r="23" spans="1:9" ht="15.75" customHeight="1" x14ac:dyDescent="0.55000000000000004">
      <c r="A23" s="193"/>
      <c r="B23" s="82"/>
      <c r="C23" s="77" t="s">
        <v>762</v>
      </c>
      <c r="D23" s="78" t="s">
        <v>718</v>
      </c>
      <c r="E23" s="78"/>
      <c r="F23" s="50"/>
      <c r="G23" s="51" t="s">
        <v>763</v>
      </c>
      <c r="H23" s="50"/>
    </row>
    <row r="24" spans="1:9" ht="15.75" customHeight="1" x14ac:dyDescent="0.55000000000000004">
      <c r="A24" s="193"/>
      <c r="B24" s="82"/>
      <c r="C24" s="77" t="s">
        <v>764</v>
      </c>
      <c r="D24" s="78"/>
      <c r="E24" s="78"/>
      <c r="F24" s="50"/>
      <c r="G24" s="51" t="s">
        <v>763</v>
      </c>
      <c r="H24" s="50"/>
    </row>
    <row r="25" spans="1:9" ht="15.75" customHeight="1" x14ac:dyDescent="0.55000000000000004">
      <c r="A25" s="210" t="s">
        <v>765</v>
      </c>
      <c r="B25" s="211" t="s">
        <v>766</v>
      </c>
      <c r="C25" s="81" t="s">
        <v>767</v>
      </c>
      <c r="D25" s="78" t="s">
        <v>768</v>
      </c>
      <c r="E25" s="78"/>
      <c r="F25" s="50"/>
      <c r="G25" s="51" t="s">
        <v>704</v>
      </c>
      <c r="H25" s="50"/>
    </row>
    <row r="26" spans="1:9" ht="15.75" customHeight="1" x14ac:dyDescent="0.55000000000000004">
      <c r="A26" s="210"/>
      <c r="B26" s="211"/>
      <c r="C26" s="81" t="s">
        <v>769</v>
      </c>
      <c r="D26" s="78" t="s">
        <v>770</v>
      </c>
      <c r="E26" s="78"/>
      <c r="F26" s="50"/>
      <c r="G26" s="51" t="s">
        <v>704</v>
      </c>
      <c r="H26" s="50"/>
    </row>
    <row r="27" spans="1:9" ht="15.75" customHeight="1" x14ac:dyDescent="0.55000000000000004">
      <c r="A27" s="193" t="s">
        <v>108</v>
      </c>
      <c r="B27" s="196" t="s">
        <v>758</v>
      </c>
      <c r="C27" s="78" t="s">
        <v>113</v>
      </c>
      <c r="D27" s="78" t="s">
        <v>771</v>
      </c>
      <c r="E27" s="78"/>
      <c r="F27" s="50"/>
      <c r="G27" s="51" t="s">
        <v>708</v>
      </c>
      <c r="H27" s="50"/>
    </row>
    <row r="28" spans="1:9" ht="15.75" customHeight="1" x14ac:dyDescent="0.55000000000000004">
      <c r="A28" s="193"/>
      <c r="B28" s="196"/>
      <c r="C28" s="78" t="s">
        <v>111</v>
      </c>
      <c r="D28" s="78" t="s">
        <v>771</v>
      </c>
      <c r="E28" s="78"/>
      <c r="F28" s="50"/>
      <c r="G28" s="51" t="s">
        <v>713</v>
      </c>
      <c r="H28" s="50"/>
    </row>
    <row r="29" spans="1:9" ht="15.75" customHeight="1" x14ac:dyDescent="0.55000000000000004">
      <c r="A29" s="193"/>
      <c r="B29" s="196"/>
      <c r="C29" s="77" t="s">
        <v>772</v>
      </c>
      <c r="D29" s="83" t="s">
        <v>715</v>
      </c>
      <c r="E29" s="83"/>
      <c r="F29" s="50"/>
      <c r="G29" s="51" t="s">
        <v>713</v>
      </c>
      <c r="H29" s="50"/>
    </row>
    <row r="30" spans="1:9" ht="15.75" customHeight="1" x14ac:dyDescent="0.55000000000000004">
      <c r="A30" s="193"/>
      <c r="B30" s="196"/>
      <c r="C30" s="78" t="s">
        <v>773</v>
      </c>
      <c r="D30" s="78" t="s">
        <v>726</v>
      </c>
      <c r="E30" s="78"/>
      <c r="F30" s="50"/>
      <c r="G30" s="51" t="s">
        <v>708</v>
      </c>
      <c r="H30" s="50"/>
    </row>
    <row r="31" spans="1:9" ht="15.75" customHeight="1" x14ac:dyDescent="0.55000000000000004">
      <c r="A31" s="194"/>
      <c r="B31" s="197"/>
      <c r="C31" s="78" t="s">
        <v>774</v>
      </c>
      <c r="D31" s="78" t="s">
        <v>726</v>
      </c>
      <c r="E31" s="78"/>
      <c r="F31" s="50"/>
      <c r="G31" s="51" t="s">
        <v>708</v>
      </c>
      <c r="H31" s="50"/>
    </row>
    <row r="32" spans="1:9" ht="15.75" customHeight="1" x14ac:dyDescent="0.55000000000000004">
      <c r="A32" s="192" t="s">
        <v>775</v>
      </c>
      <c r="B32" s="195" t="s">
        <v>776</v>
      </c>
      <c r="C32" t="s">
        <v>777</v>
      </c>
      <c r="D32" s="78" t="s">
        <v>778</v>
      </c>
      <c r="E32" s="78"/>
      <c r="F32" s="50"/>
      <c r="G32" s="51" t="s">
        <v>763</v>
      </c>
      <c r="H32" s="50"/>
    </row>
    <row r="33" spans="1:8" ht="15.75" customHeight="1" x14ac:dyDescent="0.55000000000000004">
      <c r="A33" s="193"/>
      <c r="B33" s="196"/>
      <c r="C33" s="77" t="s">
        <v>779</v>
      </c>
      <c r="D33" s="78" t="s">
        <v>780</v>
      </c>
      <c r="E33" s="78"/>
      <c r="F33" s="50"/>
      <c r="G33" s="51" t="s">
        <v>763</v>
      </c>
      <c r="H33" s="50"/>
    </row>
    <row r="34" spans="1:8" ht="15.75" customHeight="1" x14ac:dyDescent="0.55000000000000004">
      <c r="A34" s="193"/>
      <c r="B34" s="196"/>
      <c r="C34" s="77" t="s">
        <v>781</v>
      </c>
      <c r="D34" s="78" t="s">
        <v>782</v>
      </c>
      <c r="E34" s="78"/>
      <c r="F34" s="50" t="s">
        <v>783</v>
      </c>
      <c r="G34" s="51" t="s">
        <v>704</v>
      </c>
      <c r="H34" s="50"/>
    </row>
    <row r="35" spans="1:8" ht="15.75" customHeight="1" x14ac:dyDescent="0.55000000000000004">
      <c r="A35" s="192" t="s">
        <v>784</v>
      </c>
      <c r="B35" s="85" t="s">
        <v>758</v>
      </c>
      <c r="C35" s="77" t="s">
        <v>785</v>
      </c>
      <c r="D35" s="76" t="s">
        <v>786</v>
      </c>
      <c r="E35" s="76"/>
      <c r="F35" s="50"/>
      <c r="G35" s="51" t="s">
        <v>704</v>
      </c>
      <c r="H35" s="50"/>
    </row>
    <row r="36" spans="1:8" ht="15.75" customHeight="1" x14ac:dyDescent="0.55000000000000004">
      <c r="A36" s="193"/>
      <c r="B36" s="85" t="s">
        <v>787</v>
      </c>
      <c r="C36" s="77" t="s">
        <v>788</v>
      </c>
      <c r="D36" s="76" t="s">
        <v>726</v>
      </c>
      <c r="E36" s="76"/>
      <c r="F36" s="50" t="s">
        <v>789</v>
      </c>
      <c r="G36" s="51" t="s">
        <v>704</v>
      </c>
      <c r="H36" s="50"/>
    </row>
    <row r="37" spans="1:8" ht="15.75" customHeight="1" x14ac:dyDescent="0.55000000000000004">
      <c r="A37" s="193"/>
      <c r="B37" s="82" t="s">
        <v>790</v>
      </c>
      <c r="C37" s="77" t="s">
        <v>791</v>
      </c>
      <c r="D37" s="76" t="s">
        <v>792</v>
      </c>
      <c r="E37" s="76"/>
      <c r="F37" s="50"/>
      <c r="G37" s="51" t="s">
        <v>704</v>
      </c>
      <c r="H37" s="50"/>
    </row>
    <row r="38" spans="1:8" ht="15.75" customHeight="1" x14ac:dyDescent="0.55000000000000004">
      <c r="A38" s="193"/>
      <c r="B38" s="82" t="s">
        <v>793</v>
      </c>
      <c r="C38" s="77" t="s">
        <v>794</v>
      </c>
      <c r="D38" s="76" t="s">
        <v>795</v>
      </c>
      <c r="E38" s="76"/>
      <c r="F38" s="50" t="s">
        <v>796</v>
      </c>
      <c r="G38" s="51" t="s">
        <v>708</v>
      </c>
      <c r="H38" s="50"/>
    </row>
    <row r="39" spans="1:8" ht="15.75" customHeight="1" x14ac:dyDescent="0.55000000000000004">
      <c r="A39" s="192" t="s">
        <v>797</v>
      </c>
      <c r="B39" s="195" t="s">
        <v>752</v>
      </c>
      <c r="C39" s="77" t="s">
        <v>798</v>
      </c>
      <c r="D39" s="78" t="s">
        <v>726</v>
      </c>
      <c r="E39" s="78"/>
      <c r="F39" s="50" t="s">
        <v>799</v>
      </c>
      <c r="G39" s="51" t="s">
        <v>704</v>
      </c>
      <c r="H39" s="50"/>
    </row>
    <row r="40" spans="1:8" ht="15.75" customHeight="1" x14ac:dyDescent="0.55000000000000004">
      <c r="A40" s="193"/>
      <c r="B40" s="196"/>
      <c r="C40" s="77" t="s">
        <v>800</v>
      </c>
      <c r="D40" s="78" t="s">
        <v>801</v>
      </c>
      <c r="E40" s="78"/>
      <c r="F40" s="50" t="s">
        <v>799</v>
      </c>
      <c r="G40" s="51" t="s">
        <v>704</v>
      </c>
      <c r="H40" s="50"/>
    </row>
    <row r="41" spans="1:8" ht="15.75" customHeight="1" x14ac:dyDescent="0.55000000000000004">
      <c r="A41" s="193"/>
      <c r="B41" s="196"/>
      <c r="C41" s="77" t="s">
        <v>802</v>
      </c>
      <c r="D41" s="78" t="s">
        <v>726</v>
      </c>
      <c r="E41" s="78"/>
      <c r="F41" s="50" t="s">
        <v>799</v>
      </c>
      <c r="G41" s="51" t="s">
        <v>704</v>
      </c>
      <c r="H41" s="50"/>
    </row>
    <row r="42" spans="1:8" ht="15.75" customHeight="1" x14ac:dyDescent="0.55000000000000004">
      <c r="A42" s="192" t="s">
        <v>803</v>
      </c>
      <c r="B42" s="85" t="s">
        <v>804</v>
      </c>
      <c r="C42" s="77" t="s">
        <v>805</v>
      </c>
      <c r="D42" s="78" t="s">
        <v>806</v>
      </c>
      <c r="E42" s="78"/>
      <c r="F42" s="50" t="s">
        <v>807</v>
      </c>
      <c r="G42" s="51" t="s">
        <v>708</v>
      </c>
      <c r="H42" s="50"/>
    </row>
    <row r="43" spans="1:8" ht="15.75" customHeight="1" x14ac:dyDescent="0.55000000000000004">
      <c r="A43" s="193"/>
      <c r="B43" s="82" t="s">
        <v>752</v>
      </c>
      <c r="C43" s="77" t="s">
        <v>808</v>
      </c>
      <c r="D43" s="78" t="s">
        <v>715</v>
      </c>
      <c r="E43" s="78"/>
      <c r="F43" s="50" t="s">
        <v>809</v>
      </c>
      <c r="G43" s="51" t="s">
        <v>704</v>
      </c>
      <c r="H43" s="50"/>
    </row>
    <row r="44" spans="1:8" ht="15.75" customHeight="1" x14ac:dyDescent="0.55000000000000004">
      <c r="A44" s="193"/>
      <c r="B44" s="82" t="s">
        <v>810</v>
      </c>
      <c r="C44" s="77" t="s">
        <v>811</v>
      </c>
      <c r="D44" s="78" t="s">
        <v>812</v>
      </c>
      <c r="E44" s="78"/>
      <c r="F44" s="50"/>
      <c r="G44" s="51"/>
      <c r="H44" s="50"/>
    </row>
    <row r="45" spans="1:8" ht="15.75" customHeight="1" x14ac:dyDescent="0.55000000000000004">
      <c r="A45" s="193"/>
      <c r="B45" s="82" t="s">
        <v>752</v>
      </c>
      <c r="C45" s="77" t="s">
        <v>813</v>
      </c>
      <c r="D45" s="78" t="s">
        <v>806</v>
      </c>
      <c r="E45" s="78"/>
      <c r="F45" s="50" t="s">
        <v>814</v>
      </c>
      <c r="G45" s="51" t="s">
        <v>704</v>
      </c>
      <c r="H45" s="50"/>
    </row>
    <row r="46" spans="1:8" ht="15.75" customHeight="1" x14ac:dyDescent="0.55000000000000004">
      <c r="A46" s="193"/>
      <c r="B46" s="82"/>
      <c r="C46" s="77" t="s">
        <v>815</v>
      </c>
      <c r="D46" s="78"/>
      <c r="E46" s="78"/>
      <c r="F46" s="50" t="s">
        <v>816</v>
      </c>
      <c r="G46" s="51" t="s">
        <v>704</v>
      </c>
      <c r="H46" s="50"/>
    </row>
    <row r="47" spans="1:8" ht="15.75" customHeight="1" x14ac:dyDescent="0.55000000000000004">
      <c r="A47" s="192" t="s">
        <v>817</v>
      </c>
      <c r="B47" s="195" t="s">
        <v>721</v>
      </c>
      <c r="C47" s="77" t="s">
        <v>818</v>
      </c>
      <c r="D47" s="78" t="s">
        <v>726</v>
      </c>
      <c r="E47" s="78"/>
      <c r="F47" s="50"/>
      <c r="G47" s="51" t="s">
        <v>704</v>
      </c>
      <c r="H47" s="50"/>
    </row>
    <row r="48" spans="1:8" ht="15.75" customHeight="1" x14ac:dyDescent="0.55000000000000004">
      <c r="A48" s="193"/>
      <c r="B48" s="196"/>
      <c r="C48" s="86" t="s">
        <v>819</v>
      </c>
      <c r="D48" s="78" t="s">
        <v>726</v>
      </c>
      <c r="E48" s="78"/>
      <c r="F48" s="50" t="s">
        <v>820</v>
      </c>
      <c r="G48" s="51" t="s">
        <v>708</v>
      </c>
      <c r="H48" s="50"/>
    </row>
    <row r="49" spans="1:8" ht="15.75" customHeight="1" x14ac:dyDescent="0.55000000000000004">
      <c r="A49" s="193"/>
      <c r="B49" s="196"/>
      <c r="C49" t="s">
        <v>821</v>
      </c>
      <c r="D49" s="78" t="s">
        <v>822</v>
      </c>
      <c r="E49" s="78"/>
      <c r="F49" s="50"/>
      <c r="G49" s="51" t="s">
        <v>708</v>
      </c>
      <c r="H49" s="50"/>
    </row>
    <row r="50" spans="1:8" ht="15.75" customHeight="1" x14ac:dyDescent="0.55000000000000004">
      <c r="A50" s="192" t="s">
        <v>823</v>
      </c>
      <c r="B50" s="195" t="s">
        <v>810</v>
      </c>
      <c r="C50" s="77" t="s">
        <v>824</v>
      </c>
      <c r="D50" s="78" t="s">
        <v>825</v>
      </c>
      <c r="E50" s="78"/>
      <c r="F50" s="50"/>
      <c r="G50" s="51" t="s">
        <v>708</v>
      </c>
      <c r="H50" s="50"/>
    </row>
    <row r="51" spans="1:8" ht="15.75" customHeight="1" x14ac:dyDescent="0.55000000000000004">
      <c r="A51" s="193"/>
      <c r="B51" s="196"/>
      <c r="C51" s="87" t="s">
        <v>826</v>
      </c>
      <c r="D51" s="83" t="s">
        <v>827</v>
      </c>
      <c r="E51" s="83"/>
      <c r="F51" s="50"/>
      <c r="G51" s="51" t="s">
        <v>708</v>
      </c>
      <c r="H51" s="50"/>
    </row>
    <row r="52" spans="1:8" ht="15.75" customHeight="1" x14ac:dyDescent="0.55000000000000004">
      <c r="A52" s="193"/>
      <c r="B52" s="198"/>
      <c r="C52" s="50" t="s">
        <v>828</v>
      </c>
      <c r="D52" s="51" t="s">
        <v>829</v>
      </c>
      <c r="E52" s="51"/>
      <c r="F52" s="50" t="s">
        <v>830</v>
      </c>
      <c r="G52" s="51" t="s">
        <v>704</v>
      </c>
      <c r="H52" s="50"/>
    </row>
    <row r="53" spans="1:8" ht="15.75" customHeight="1" x14ac:dyDescent="0.55000000000000004">
      <c r="A53" s="193"/>
      <c r="B53" s="198"/>
      <c r="C53" s="50" t="s">
        <v>831</v>
      </c>
      <c r="D53" s="51" t="s">
        <v>832</v>
      </c>
      <c r="E53" s="51"/>
      <c r="F53" s="50" t="s">
        <v>833</v>
      </c>
      <c r="G53" s="51" t="s">
        <v>704</v>
      </c>
      <c r="H53" s="50"/>
    </row>
    <row r="54" spans="1:8" ht="15.75" customHeight="1" x14ac:dyDescent="0.55000000000000004">
      <c r="A54" s="192" t="s">
        <v>834</v>
      </c>
      <c r="B54" s="195" t="s">
        <v>752</v>
      </c>
      <c r="C54" s="75" t="s">
        <v>835</v>
      </c>
      <c r="D54" s="76" t="s">
        <v>836</v>
      </c>
      <c r="E54" s="76"/>
      <c r="F54" s="50" t="s">
        <v>837</v>
      </c>
      <c r="G54" s="51" t="s">
        <v>704</v>
      </c>
      <c r="H54" s="50"/>
    </row>
    <row r="55" spans="1:8" ht="15.75" customHeight="1" x14ac:dyDescent="0.55000000000000004">
      <c r="A55" s="193"/>
      <c r="B55" s="196"/>
      <c r="C55" t="s">
        <v>838</v>
      </c>
      <c r="D55" s="78"/>
      <c r="E55" s="78"/>
      <c r="F55" s="50" t="s">
        <v>839</v>
      </c>
      <c r="G55" s="51" t="s">
        <v>708</v>
      </c>
      <c r="H55" s="50"/>
    </row>
    <row r="56" spans="1:8" ht="15.75" customHeight="1" x14ac:dyDescent="0.55000000000000004">
      <c r="A56" s="193"/>
      <c r="B56" s="196"/>
      <c r="C56" s="77" t="s">
        <v>840</v>
      </c>
      <c r="D56" s="78"/>
      <c r="E56" s="78"/>
      <c r="F56" s="50" t="s">
        <v>839</v>
      </c>
      <c r="G56" s="51" t="s">
        <v>708</v>
      </c>
      <c r="H56" s="50"/>
    </row>
    <row r="57" spans="1:8" ht="15.75" customHeight="1" x14ac:dyDescent="0.55000000000000004">
      <c r="A57" s="193"/>
      <c r="B57" s="196"/>
      <c r="C57" s="87" t="s">
        <v>841</v>
      </c>
      <c r="D57" s="78" t="s">
        <v>154</v>
      </c>
      <c r="E57" s="78"/>
      <c r="F57" s="50" t="s">
        <v>842</v>
      </c>
      <c r="G57" s="51" t="s">
        <v>708</v>
      </c>
      <c r="H57" s="50" t="s">
        <v>843</v>
      </c>
    </row>
    <row r="58" spans="1:8" ht="15.75" customHeight="1" x14ac:dyDescent="0.55000000000000004">
      <c r="A58" s="194"/>
      <c r="B58" s="198"/>
      <c r="C58" s="50" t="s">
        <v>844</v>
      </c>
      <c r="D58" s="88" t="s">
        <v>726</v>
      </c>
      <c r="E58" s="88"/>
      <c r="F58" s="50" t="s">
        <v>845</v>
      </c>
      <c r="G58" s="51"/>
      <c r="H58" s="18" t="s">
        <v>846</v>
      </c>
    </row>
    <row r="59" spans="1:8" ht="15.75" customHeight="1" x14ac:dyDescent="0.55000000000000004">
      <c r="A59" s="202" t="s">
        <v>847</v>
      </c>
      <c r="B59" s="53" t="s">
        <v>740</v>
      </c>
      <c r="C59" s="89" t="s">
        <v>848</v>
      </c>
      <c r="D59" s="78" t="s">
        <v>66</v>
      </c>
      <c r="E59" s="78"/>
      <c r="F59" s="50" t="s">
        <v>849</v>
      </c>
      <c r="G59" s="51" t="s">
        <v>704</v>
      </c>
      <c r="H59" s="50"/>
    </row>
    <row r="60" spans="1:8" ht="15.75" customHeight="1" x14ac:dyDescent="0.55000000000000004">
      <c r="A60" s="203"/>
      <c r="B60" s="53" t="s">
        <v>850</v>
      </c>
      <c r="C60" s="81" t="s">
        <v>851</v>
      </c>
      <c r="D60" s="78" t="s">
        <v>852</v>
      </c>
      <c r="E60" s="78"/>
      <c r="F60" s="50" t="s">
        <v>853</v>
      </c>
      <c r="G60" s="51" t="s">
        <v>713</v>
      </c>
      <c r="H60" s="50" t="s">
        <v>854</v>
      </c>
    </row>
    <row r="61" spans="1:8" ht="15.75" customHeight="1" x14ac:dyDescent="0.55000000000000004">
      <c r="A61" s="203"/>
      <c r="B61" s="53" t="s">
        <v>855</v>
      </c>
      <c r="C61" s="81" t="s">
        <v>856</v>
      </c>
      <c r="D61" s="78" t="s">
        <v>857</v>
      </c>
      <c r="E61" s="78"/>
      <c r="F61" s="50" t="s">
        <v>853</v>
      </c>
      <c r="G61" s="51" t="s">
        <v>713</v>
      </c>
      <c r="H61" s="50" t="s">
        <v>854</v>
      </c>
    </row>
    <row r="62" spans="1:8" ht="15.75" customHeight="1" x14ac:dyDescent="0.55000000000000004">
      <c r="A62" s="203"/>
      <c r="B62" s="53"/>
      <c r="C62" s="81" t="s">
        <v>858</v>
      </c>
      <c r="D62" s="78" t="s">
        <v>715</v>
      </c>
      <c r="E62" s="78"/>
      <c r="F62" s="50"/>
      <c r="G62" s="51" t="s">
        <v>763</v>
      </c>
      <c r="H62" s="50" t="s">
        <v>859</v>
      </c>
    </row>
    <row r="63" spans="1:8" ht="15.75" customHeight="1" x14ac:dyDescent="0.55000000000000004">
      <c r="A63" s="203"/>
      <c r="B63" s="53" t="s">
        <v>810</v>
      </c>
      <c r="C63" s="81" t="s">
        <v>860</v>
      </c>
      <c r="D63" s="78" t="s">
        <v>861</v>
      </c>
      <c r="E63" s="78"/>
      <c r="F63" s="50" t="s">
        <v>862</v>
      </c>
      <c r="G63" s="51" t="s">
        <v>704</v>
      </c>
      <c r="H63" s="50"/>
    </row>
    <row r="64" spans="1:8" ht="15.75" customHeight="1" x14ac:dyDescent="0.55000000000000004">
      <c r="A64" s="203"/>
      <c r="B64" s="53" t="s">
        <v>810</v>
      </c>
      <c r="C64" s="81" t="s">
        <v>863</v>
      </c>
      <c r="D64" s="78" t="s">
        <v>864</v>
      </c>
      <c r="E64" s="78"/>
      <c r="F64" s="50" t="s">
        <v>865</v>
      </c>
      <c r="G64" s="51" t="s">
        <v>704</v>
      </c>
      <c r="H64" s="50"/>
    </row>
    <row r="65" spans="1:8" ht="15.75" customHeight="1" x14ac:dyDescent="0.55000000000000004">
      <c r="A65" s="203"/>
      <c r="B65" s="205" t="s">
        <v>787</v>
      </c>
      <c r="C65" s="81" t="s">
        <v>866</v>
      </c>
      <c r="D65" s="78" t="s">
        <v>726</v>
      </c>
      <c r="E65" s="78"/>
      <c r="F65" s="50" t="s">
        <v>865</v>
      </c>
      <c r="G65" s="51" t="s">
        <v>704</v>
      </c>
      <c r="H65" s="50"/>
    </row>
    <row r="66" spans="1:8" ht="15.75" customHeight="1" x14ac:dyDescent="0.55000000000000004">
      <c r="A66" s="203"/>
      <c r="B66" s="206"/>
      <c r="C66" s="81" t="s">
        <v>867</v>
      </c>
      <c r="D66" s="78" t="s">
        <v>868</v>
      </c>
      <c r="E66" s="78"/>
      <c r="F66" s="50" t="s">
        <v>865</v>
      </c>
      <c r="G66" s="51" t="s">
        <v>704</v>
      </c>
      <c r="H66" s="50"/>
    </row>
    <row r="67" spans="1:8" ht="15.75" customHeight="1" x14ac:dyDescent="0.55000000000000004">
      <c r="A67" s="204"/>
      <c r="B67" s="207"/>
      <c r="C67" s="81" t="s">
        <v>869</v>
      </c>
      <c r="D67" s="78" t="s">
        <v>870</v>
      </c>
      <c r="E67" s="78"/>
      <c r="F67" s="50" t="s">
        <v>865</v>
      </c>
      <c r="G67" s="51" t="s">
        <v>704</v>
      </c>
      <c r="H67" s="50"/>
    </row>
    <row r="68" spans="1:8" ht="15.75" customHeight="1" x14ac:dyDescent="0.55000000000000004">
      <c r="A68" s="202" t="s">
        <v>871</v>
      </c>
      <c r="B68" s="90" t="s">
        <v>872</v>
      </c>
      <c r="C68" s="81" t="s">
        <v>873</v>
      </c>
      <c r="D68" s="78" t="s">
        <v>66</v>
      </c>
      <c r="E68" s="78"/>
      <c r="F68" s="50" t="s">
        <v>849</v>
      </c>
      <c r="G68" s="51" t="s">
        <v>704</v>
      </c>
      <c r="H68" s="50"/>
    </row>
    <row r="69" spans="1:8" ht="15.75" customHeight="1" x14ac:dyDescent="0.55000000000000004">
      <c r="A69" s="203"/>
      <c r="B69" s="80"/>
      <c r="C69" s="81" t="s">
        <v>874</v>
      </c>
      <c r="D69" s="78" t="s">
        <v>875</v>
      </c>
      <c r="E69" s="78"/>
      <c r="F69" s="50" t="s">
        <v>876</v>
      </c>
      <c r="G69" s="51" t="s">
        <v>704</v>
      </c>
      <c r="H69" s="50"/>
    </row>
    <row r="70" spans="1:8" ht="15.75" customHeight="1" x14ac:dyDescent="0.55000000000000004">
      <c r="A70" s="203"/>
      <c r="B70" s="80" t="s">
        <v>872</v>
      </c>
      <c r="C70" s="81" t="s">
        <v>877</v>
      </c>
      <c r="D70" s="78" t="s">
        <v>875</v>
      </c>
      <c r="E70" s="78"/>
      <c r="F70" s="50" t="s">
        <v>878</v>
      </c>
      <c r="G70" s="51" t="s">
        <v>713</v>
      </c>
      <c r="H70" s="50"/>
    </row>
    <row r="71" spans="1:8" ht="15.75" customHeight="1" x14ac:dyDescent="0.55000000000000004">
      <c r="A71" s="203"/>
      <c r="B71" s="80" t="s">
        <v>810</v>
      </c>
      <c r="C71" s="81" t="s">
        <v>879</v>
      </c>
      <c r="D71" s="78" t="s">
        <v>880</v>
      </c>
      <c r="E71" s="78"/>
      <c r="F71" s="50" t="s">
        <v>881</v>
      </c>
      <c r="G71" s="51" t="s">
        <v>704</v>
      </c>
      <c r="H71" s="50"/>
    </row>
    <row r="72" spans="1:8" ht="15.75" customHeight="1" x14ac:dyDescent="0.55000000000000004">
      <c r="A72" s="203"/>
      <c r="B72" s="80" t="s">
        <v>810</v>
      </c>
      <c r="C72" s="81" t="s">
        <v>882</v>
      </c>
      <c r="D72" s="78" t="s">
        <v>883</v>
      </c>
      <c r="E72" s="78"/>
      <c r="F72" s="50" t="s">
        <v>884</v>
      </c>
      <c r="G72" s="51" t="s">
        <v>713</v>
      </c>
      <c r="H72" s="50"/>
    </row>
    <row r="73" spans="1:8" ht="15.75" customHeight="1" x14ac:dyDescent="0.55000000000000004">
      <c r="A73" s="203"/>
      <c r="B73" s="80" t="s">
        <v>758</v>
      </c>
      <c r="C73" s="81" t="s">
        <v>885</v>
      </c>
      <c r="D73" s="78" t="s">
        <v>886</v>
      </c>
      <c r="E73" s="78"/>
      <c r="F73" s="50"/>
      <c r="G73" s="51" t="s">
        <v>704</v>
      </c>
      <c r="H73" s="50"/>
    </row>
    <row r="74" spans="1:8" ht="15.75" customHeight="1" x14ac:dyDescent="0.55000000000000004">
      <c r="A74" s="203"/>
      <c r="B74" s="80" t="s">
        <v>887</v>
      </c>
      <c r="C74" s="81" t="s">
        <v>888</v>
      </c>
      <c r="D74" s="78" t="s">
        <v>812</v>
      </c>
      <c r="E74" s="78"/>
      <c r="F74" s="50"/>
      <c r="G74" s="51" t="s">
        <v>763</v>
      </c>
      <c r="H74" s="50"/>
    </row>
    <row r="75" spans="1:8" ht="15.75" customHeight="1" x14ac:dyDescent="0.55000000000000004">
      <c r="A75" s="203"/>
      <c r="B75" s="80"/>
      <c r="C75" s="81" t="s">
        <v>889</v>
      </c>
      <c r="D75" s="78" t="s">
        <v>890</v>
      </c>
      <c r="E75" s="78"/>
      <c r="F75" s="50"/>
      <c r="G75" s="51" t="s">
        <v>763</v>
      </c>
      <c r="H75" s="50"/>
    </row>
    <row r="76" spans="1:8" ht="15.75" customHeight="1" x14ac:dyDescent="0.55000000000000004">
      <c r="A76" s="203"/>
      <c r="B76" s="85" t="s">
        <v>752</v>
      </c>
      <c r="C76" s="81" t="s">
        <v>891</v>
      </c>
      <c r="D76" s="78" t="s">
        <v>892</v>
      </c>
      <c r="E76" s="78"/>
      <c r="F76" s="50" t="s">
        <v>893</v>
      </c>
      <c r="G76" s="51" t="s">
        <v>704</v>
      </c>
      <c r="H76" s="50"/>
    </row>
    <row r="77" spans="1:8" ht="15.75" customHeight="1" x14ac:dyDescent="0.55000000000000004">
      <c r="A77" s="203"/>
      <c r="B77" s="85" t="s">
        <v>758</v>
      </c>
      <c r="C77" s="81" t="s">
        <v>894</v>
      </c>
      <c r="D77" s="78" t="s">
        <v>726</v>
      </c>
      <c r="E77" s="78"/>
      <c r="F77" s="50" t="s">
        <v>895</v>
      </c>
      <c r="G77" s="51" t="s">
        <v>704</v>
      </c>
      <c r="H77" s="50"/>
    </row>
    <row r="78" spans="1:8" ht="15.75" customHeight="1" x14ac:dyDescent="0.55000000000000004">
      <c r="A78" s="208"/>
      <c r="B78" s="80" t="s">
        <v>752</v>
      </c>
      <c r="C78" s="81" t="s">
        <v>896</v>
      </c>
      <c r="D78" s="78" t="s">
        <v>715</v>
      </c>
      <c r="E78" s="78"/>
      <c r="F78" s="50" t="s">
        <v>897</v>
      </c>
      <c r="G78" s="51" t="s">
        <v>704</v>
      </c>
      <c r="H78" s="50"/>
    </row>
    <row r="79" spans="1:8" ht="15.75" customHeight="1" x14ac:dyDescent="0.55000000000000004">
      <c r="A79" s="209"/>
      <c r="B79" s="80" t="s">
        <v>752</v>
      </c>
      <c r="C79" s="81" t="s">
        <v>898</v>
      </c>
      <c r="D79" s="78" t="s">
        <v>892</v>
      </c>
      <c r="E79" s="78"/>
      <c r="F79" s="50" t="s">
        <v>897</v>
      </c>
      <c r="G79" s="51" t="s">
        <v>704</v>
      </c>
      <c r="H79" s="50"/>
    </row>
    <row r="80" spans="1:8" ht="15.75" customHeight="1" x14ac:dyDescent="0.55000000000000004">
      <c r="A80" s="199" t="s">
        <v>899</v>
      </c>
      <c r="B80" s="196" t="s">
        <v>900</v>
      </c>
      <c r="C80" s="77" t="s">
        <v>901</v>
      </c>
      <c r="D80" s="78" t="s">
        <v>85</v>
      </c>
      <c r="E80" s="78"/>
      <c r="F80" s="50" t="s">
        <v>902</v>
      </c>
      <c r="G80" s="51" t="s">
        <v>708</v>
      </c>
      <c r="H80" s="50" t="s">
        <v>903</v>
      </c>
    </row>
    <row r="81" spans="1:8" ht="15.75" customHeight="1" x14ac:dyDescent="0.55000000000000004">
      <c r="A81" s="200"/>
      <c r="B81" s="196"/>
      <c r="C81" s="18" t="s">
        <v>904</v>
      </c>
      <c r="D81" s="78" t="s">
        <v>905</v>
      </c>
      <c r="E81" s="78"/>
      <c r="F81" s="50"/>
      <c r="G81" s="51" t="s">
        <v>713</v>
      </c>
      <c r="H81" s="50"/>
    </row>
    <row r="82" spans="1:8" ht="15.75" customHeight="1" x14ac:dyDescent="0.55000000000000004">
      <c r="A82" s="200"/>
      <c r="B82" s="196"/>
      <c r="C82" s="77" t="s">
        <v>906</v>
      </c>
      <c r="D82" s="78" t="s">
        <v>726</v>
      </c>
      <c r="E82" s="78"/>
      <c r="F82" s="50"/>
      <c r="G82" s="51" t="s">
        <v>708</v>
      </c>
      <c r="H82" s="50"/>
    </row>
    <row r="83" spans="1:8" ht="15.75" customHeight="1" x14ac:dyDescent="0.55000000000000004">
      <c r="A83" s="200"/>
      <c r="B83" s="196"/>
      <c r="C83" s="77" t="s">
        <v>907</v>
      </c>
      <c r="D83" s="78" t="s">
        <v>908</v>
      </c>
      <c r="E83" s="78"/>
      <c r="F83" s="50"/>
      <c r="G83" s="51" t="s">
        <v>708</v>
      </c>
      <c r="H83" s="50"/>
    </row>
    <row r="84" spans="1:8" ht="15.75" customHeight="1" x14ac:dyDescent="0.55000000000000004">
      <c r="A84" s="201"/>
      <c r="B84" s="197"/>
      <c r="C84" s="77" t="s">
        <v>909</v>
      </c>
      <c r="D84" s="78" t="s">
        <v>910</v>
      </c>
      <c r="E84" s="78"/>
      <c r="F84" s="50" t="s">
        <v>911</v>
      </c>
      <c r="G84" s="51" t="s">
        <v>716</v>
      </c>
      <c r="H84" s="50"/>
    </row>
    <row r="85" spans="1:8" ht="15.75" customHeight="1" x14ac:dyDescent="0.55000000000000004">
      <c r="A85" s="192" t="s">
        <v>505</v>
      </c>
      <c r="B85" s="195" t="s">
        <v>721</v>
      </c>
      <c r="C85" s="77" t="s">
        <v>912</v>
      </c>
      <c r="D85" s="78" t="s">
        <v>85</v>
      </c>
      <c r="E85" s="78"/>
      <c r="F85" s="50"/>
      <c r="G85" s="51" t="s">
        <v>704</v>
      </c>
      <c r="H85" s="50"/>
    </row>
    <row r="86" spans="1:8" ht="15.75" customHeight="1" x14ac:dyDescent="0.55000000000000004">
      <c r="A86" s="193"/>
      <c r="B86" s="196"/>
      <c r="C86" s="77" t="s">
        <v>913</v>
      </c>
      <c r="D86" s="78"/>
      <c r="E86" s="78"/>
      <c r="F86" s="50"/>
      <c r="G86" s="51" t="s">
        <v>713</v>
      </c>
      <c r="H86" s="50" t="s">
        <v>914</v>
      </c>
    </row>
    <row r="87" spans="1:8" ht="15.75" customHeight="1" x14ac:dyDescent="0.55000000000000004">
      <c r="A87" s="193"/>
      <c r="B87" s="196"/>
      <c r="C87" s="77" t="s">
        <v>915</v>
      </c>
      <c r="D87" s="78"/>
      <c r="E87" s="78"/>
      <c r="F87" s="50"/>
      <c r="G87" s="51" t="s">
        <v>713</v>
      </c>
      <c r="H87" s="50"/>
    </row>
    <row r="88" spans="1:8" ht="15.75" customHeight="1" x14ac:dyDescent="0.55000000000000004">
      <c r="A88" s="193"/>
      <c r="B88" s="196"/>
      <c r="C88" s="77" t="s">
        <v>916</v>
      </c>
      <c r="D88" s="78" t="s">
        <v>795</v>
      </c>
      <c r="E88" s="78"/>
      <c r="F88" s="50"/>
      <c r="G88" s="51" t="s">
        <v>704</v>
      </c>
      <c r="H88" s="50"/>
    </row>
    <row r="89" spans="1:8" ht="15.75" customHeight="1" x14ac:dyDescent="0.55000000000000004">
      <c r="A89" s="194"/>
      <c r="B89" s="197"/>
      <c r="C89" s="77"/>
      <c r="D89" s="78"/>
      <c r="E89" s="78"/>
      <c r="F89" s="50"/>
      <c r="G89" s="51"/>
      <c r="H89" s="50"/>
    </row>
    <row r="90" spans="1:8" ht="15.75" customHeight="1" x14ac:dyDescent="0.55000000000000004">
      <c r="A90" s="54" t="s">
        <v>917</v>
      </c>
      <c r="B90" s="84" t="s">
        <v>752</v>
      </c>
      <c r="C90" s="77" t="s">
        <v>918</v>
      </c>
      <c r="D90" s="78" t="s">
        <v>726</v>
      </c>
      <c r="E90" s="78"/>
      <c r="F90" s="50" t="s">
        <v>919</v>
      </c>
      <c r="G90" s="51" t="s">
        <v>708</v>
      </c>
      <c r="H90" s="50"/>
    </row>
    <row r="91" spans="1:8" x14ac:dyDescent="0.55000000000000004">
      <c r="A91" s="55" t="s">
        <v>920</v>
      </c>
      <c r="B91" s="77" t="s">
        <v>752</v>
      </c>
      <c r="C91" s="77" t="s">
        <v>921</v>
      </c>
      <c r="D91" s="78" t="s">
        <v>922</v>
      </c>
      <c r="E91" s="78"/>
      <c r="F91" s="50"/>
      <c r="G91" s="51" t="s">
        <v>704</v>
      </c>
      <c r="H91" s="50"/>
    </row>
    <row r="92" spans="1:8" x14ac:dyDescent="0.55000000000000004">
      <c r="A92" s="55" t="s">
        <v>923</v>
      </c>
      <c r="B92" s="77" t="s">
        <v>887</v>
      </c>
      <c r="C92" s="77" t="s">
        <v>924</v>
      </c>
      <c r="D92" s="78"/>
      <c r="E92" s="78"/>
      <c r="F92" s="50"/>
      <c r="G92" s="51" t="s">
        <v>708</v>
      </c>
      <c r="H92" s="50"/>
    </row>
    <row r="93" spans="1:8" x14ac:dyDescent="0.55000000000000004">
      <c r="A93" s="55" t="s">
        <v>925</v>
      </c>
      <c r="B93" s="77" t="s">
        <v>740</v>
      </c>
      <c r="C93" s="77" t="s">
        <v>924</v>
      </c>
      <c r="D93" s="78"/>
      <c r="E93" s="78"/>
      <c r="F93" s="50"/>
      <c r="G93" s="51" t="s">
        <v>708</v>
      </c>
      <c r="H93" s="50"/>
    </row>
    <row r="95" spans="1:8" x14ac:dyDescent="0.55000000000000004">
      <c r="B95" s="61" t="s">
        <v>926</v>
      </c>
      <c r="C95" s="62">
        <v>83</v>
      </c>
    </row>
    <row r="101" spans="1:19" ht="15.6" x14ac:dyDescent="0.6">
      <c r="A101" s="27" t="s">
        <v>689</v>
      </c>
      <c r="B101" s="28" t="s">
        <v>927</v>
      </c>
      <c r="C101" s="29" t="s">
        <v>928</v>
      </c>
      <c r="D101" s="29" t="s">
        <v>929</v>
      </c>
      <c r="E101" s="29"/>
      <c r="F101" s="29" t="s">
        <v>930</v>
      </c>
      <c r="G101" s="29" t="s">
        <v>931</v>
      </c>
      <c r="H101" s="29" t="s">
        <v>932</v>
      </c>
      <c r="I101" s="29" t="s">
        <v>933</v>
      </c>
      <c r="J101" s="29" t="s">
        <v>934</v>
      </c>
      <c r="K101" s="29" t="s">
        <v>935</v>
      </c>
      <c r="L101" s="29" t="s">
        <v>936</v>
      </c>
      <c r="M101" s="29" t="s">
        <v>937</v>
      </c>
      <c r="N101" s="29" t="s">
        <v>938</v>
      </c>
      <c r="O101" s="30" t="s">
        <v>939</v>
      </c>
      <c r="P101" s="31" t="s">
        <v>940</v>
      </c>
      <c r="R101" s="49"/>
      <c r="S101" s="49"/>
    </row>
    <row r="102" spans="1:19" ht="15.6" x14ac:dyDescent="0.6">
      <c r="A102" s="32" t="s">
        <v>709</v>
      </c>
      <c r="B102" s="33">
        <v>16180</v>
      </c>
      <c r="C102" s="33">
        <v>11745</v>
      </c>
      <c r="D102" s="33">
        <v>3660</v>
      </c>
      <c r="E102" s="33"/>
      <c r="F102" s="33">
        <v>14400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5">
        <v>0</v>
      </c>
      <c r="O102" s="36">
        <v>45985</v>
      </c>
      <c r="P102" s="37">
        <f>'[1]Live Projection 2025'!H22</f>
        <v>191250</v>
      </c>
    </row>
    <row r="103" spans="1:19" ht="15.6" x14ac:dyDescent="0.6">
      <c r="A103" s="38" t="s">
        <v>481</v>
      </c>
      <c r="B103" s="33">
        <v>0</v>
      </c>
      <c r="C103" s="33">
        <v>0</v>
      </c>
      <c r="D103" s="33">
        <v>2280</v>
      </c>
      <c r="E103" s="33"/>
      <c r="F103" s="33">
        <v>2700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5">
        <v>0</v>
      </c>
      <c r="O103" s="36">
        <v>4980</v>
      </c>
      <c r="P103" s="37">
        <f>'[1]Live Projection 2025'!H29</f>
        <v>63750</v>
      </c>
    </row>
    <row r="104" spans="1:19" ht="15.6" x14ac:dyDescent="0.6">
      <c r="A104" s="32" t="s">
        <v>739</v>
      </c>
      <c r="B104" s="33">
        <v>0</v>
      </c>
      <c r="C104" s="33">
        <v>57489</v>
      </c>
      <c r="D104" s="33">
        <v>218260</v>
      </c>
      <c r="E104" s="33"/>
      <c r="F104" s="33">
        <v>276085.9952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5">
        <v>0</v>
      </c>
      <c r="O104" s="36">
        <v>551834.9952</v>
      </c>
      <c r="P104" s="37">
        <f>'[1]Live Projection 2025'!H28</f>
        <v>722500</v>
      </c>
    </row>
    <row r="105" spans="1:19" ht="15.6" x14ac:dyDescent="0.6">
      <c r="A105" s="39" t="s">
        <v>751</v>
      </c>
      <c r="B105" s="33">
        <v>9100</v>
      </c>
      <c r="C105" s="33">
        <v>9100</v>
      </c>
      <c r="D105" s="33">
        <v>0</v>
      </c>
      <c r="E105" s="33"/>
      <c r="F105" s="33">
        <v>9100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5">
        <v>0</v>
      </c>
      <c r="O105" s="36">
        <v>27300</v>
      </c>
      <c r="P105" s="37">
        <f>'[1]Live Projection 2025'!H26</f>
        <v>106250</v>
      </c>
    </row>
    <row r="106" spans="1:19" ht="15.6" x14ac:dyDescent="0.6">
      <c r="A106" s="32" t="s">
        <v>765</v>
      </c>
      <c r="B106" s="33">
        <v>5135</v>
      </c>
      <c r="C106" s="33">
        <v>2240</v>
      </c>
      <c r="D106" s="33">
        <v>3550</v>
      </c>
      <c r="E106" s="33"/>
      <c r="F106" s="33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5">
        <v>0</v>
      </c>
      <c r="O106" s="36">
        <v>10925</v>
      </c>
      <c r="P106" s="37">
        <f>'[1]Live Projection 2025'!H25</f>
        <v>127500</v>
      </c>
    </row>
    <row r="107" spans="1:19" ht="15.6" x14ac:dyDescent="0.6">
      <c r="A107" s="32" t="s">
        <v>108</v>
      </c>
      <c r="B107" s="33">
        <v>0</v>
      </c>
      <c r="C107" s="33">
        <v>12320</v>
      </c>
      <c r="D107" s="33">
        <v>1540</v>
      </c>
      <c r="E107" s="33"/>
      <c r="F107" s="33">
        <v>840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5">
        <v>0</v>
      </c>
      <c r="O107" s="36">
        <v>14700</v>
      </c>
      <c r="P107" s="37"/>
    </row>
    <row r="108" spans="1:19" ht="15.6" x14ac:dyDescent="0.6">
      <c r="A108" s="32" t="s">
        <v>784</v>
      </c>
      <c r="B108" s="33">
        <v>949.8</v>
      </c>
      <c r="C108" s="33">
        <v>34200</v>
      </c>
      <c r="D108" s="33">
        <v>65380.004000000001</v>
      </c>
      <c r="E108" s="33"/>
      <c r="F108" s="33">
        <v>57500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5">
        <v>0</v>
      </c>
      <c r="O108" s="36">
        <v>158029.804</v>
      </c>
      <c r="P108" s="37">
        <f>'[1]Live Projection 2025'!H20</f>
        <v>765000</v>
      </c>
    </row>
    <row r="109" spans="1:19" ht="15.6" x14ac:dyDescent="0.6">
      <c r="A109" s="38" t="s">
        <v>797</v>
      </c>
      <c r="B109" s="33">
        <v>10800</v>
      </c>
      <c r="C109" s="33">
        <v>4320</v>
      </c>
      <c r="D109" s="33">
        <v>9720</v>
      </c>
      <c r="E109" s="33"/>
      <c r="F109" s="33">
        <v>12480</v>
      </c>
      <c r="G109" s="34">
        <v>0</v>
      </c>
      <c r="H109" s="34">
        <v>0</v>
      </c>
      <c r="I109" s="34">
        <v>0</v>
      </c>
      <c r="J109" s="34">
        <v>0</v>
      </c>
      <c r="K109" s="34">
        <v>0</v>
      </c>
      <c r="L109" s="34">
        <v>0</v>
      </c>
      <c r="M109" s="34">
        <v>0</v>
      </c>
      <c r="N109" s="35">
        <v>0</v>
      </c>
      <c r="O109" s="36">
        <v>37320</v>
      </c>
      <c r="P109" s="37"/>
    </row>
    <row r="110" spans="1:19" ht="15.6" x14ac:dyDescent="0.6">
      <c r="A110" s="38" t="s">
        <v>803</v>
      </c>
      <c r="B110" s="33">
        <v>9500</v>
      </c>
      <c r="C110" s="33">
        <v>0</v>
      </c>
      <c r="D110" s="33">
        <v>0</v>
      </c>
      <c r="E110" s="33"/>
      <c r="F110" s="33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  <c r="N110" s="35">
        <v>0</v>
      </c>
      <c r="O110" s="36">
        <v>9500</v>
      </c>
      <c r="P110" s="37"/>
    </row>
    <row r="111" spans="1:19" ht="15.6" x14ac:dyDescent="0.6">
      <c r="A111" s="38" t="s">
        <v>817</v>
      </c>
      <c r="B111" s="33">
        <v>7700</v>
      </c>
      <c r="C111" s="33">
        <v>15400</v>
      </c>
      <c r="D111" s="33">
        <v>0</v>
      </c>
      <c r="E111" s="33"/>
      <c r="F111" s="33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  <c r="N111" s="35">
        <v>0</v>
      </c>
      <c r="O111" s="36">
        <v>23100</v>
      </c>
      <c r="P111" s="37"/>
    </row>
    <row r="112" spans="1:19" ht="15.6" x14ac:dyDescent="0.6">
      <c r="A112" s="32" t="s">
        <v>834</v>
      </c>
      <c r="B112" s="33">
        <v>10500</v>
      </c>
      <c r="C112" s="33">
        <v>12850</v>
      </c>
      <c r="D112" s="33">
        <v>29350</v>
      </c>
      <c r="E112" s="33"/>
      <c r="F112" s="33">
        <v>16375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5">
        <v>0</v>
      </c>
      <c r="O112" s="36">
        <v>69075</v>
      </c>
      <c r="P112" s="37">
        <f>'[1]Live Projection 2025'!H23</f>
        <v>212500</v>
      </c>
    </row>
    <row r="113" spans="1:16" ht="15.6" x14ac:dyDescent="0.6">
      <c r="A113" s="32" t="s">
        <v>923</v>
      </c>
      <c r="B113" s="33">
        <v>13000</v>
      </c>
      <c r="C113" s="33">
        <v>0</v>
      </c>
      <c r="D113" s="33">
        <v>0</v>
      </c>
      <c r="E113" s="33"/>
      <c r="F113" s="33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5">
        <v>0</v>
      </c>
      <c r="O113" s="36">
        <v>13000</v>
      </c>
      <c r="P113" s="37">
        <f>'[1]Live Projection 2025'!H27</f>
        <v>59500</v>
      </c>
    </row>
    <row r="114" spans="1:16" ht="15.6" x14ac:dyDescent="0.6">
      <c r="A114" s="32" t="s">
        <v>925</v>
      </c>
      <c r="B114" s="33">
        <v>0</v>
      </c>
      <c r="C114" s="33">
        <v>36000</v>
      </c>
      <c r="D114" s="33">
        <v>0</v>
      </c>
      <c r="E114" s="33"/>
      <c r="F114" s="33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  <c r="N114" s="35">
        <v>0</v>
      </c>
      <c r="O114" s="36">
        <v>36000</v>
      </c>
      <c r="P114" s="37"/>
    </row>
    <row r="115" spans="1:16" ht="15.6" x14ac:dyDescent="0.6">
      <c r="A115" s="40" t="s">
        <v>471</v>
      </c>
      <c r="B115" s="33">
        <v>11520</v>
      </c>
      <c r="C115" s="33">
        <v>27720</v>
      </c>
      <c r="D115" s="33">
        <v>21159.599999999999</v>
      </c>
      <c r="E115" s="33"/>
      <c r="F115" s="33">
        <v>10579.8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  <c r="N115" s="35">
        <v>0</v>
      </c>
      <c r="O115" s="41">
        <v>70979.399999999994</v>
      </c>
      <c r="P115" s="37">
        <f>'[1]Live Projection 2025'!H21</f>
        <v>382500</v>
      </c>
    </row>
    <row r="116" spans="1:16" ht="15.6" x14ac:dyDescent="0.6">
      <c r="A116" s="42" t="s">
        <v>899</v>
      </c>
      <c r="B116" s="43">
        <v>0</v>
      </c>
      <c r="C116" s="43">
        <v>0</v>
      </c>
      <c r="D116" s="43">
        <v>0</v>
      </c>
      <c r="E116" s="43"/>
      <c r="F116" s="43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  <c r="N116" s="35">
        <v>0</v>
      </c>
      <c r="O116" s="41">
        <v>0</v>
      </c>
      <c r="P116" s="37"/>
    </row>
    <row r="117" spans="1:16" ht="15.6" x14ac:dyDescent="0.6">
      <c r="A117" s="38" t="s">
        <v>505</v>
      </c>
      <c r="B117" s="33">
        <v>33850.000000000007</v>
      </c>
      <c r="C117" s="33">
        <v>19290</v>
      </c>
      <c r="D117" s="33">
        <v>24020</v>
      </c>
      <c r="E117" s="33"/>
      <c r="F117" s="33">
        <v>32650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5">
        <v>0</v>
      </c>
      <c r="O117" s="44">
        <v>109810</v>
      </c>
      <c r="P117" s="37">
        <f>'[1]Live Projection 2025'!H24</f>
        <v>233750</v>
      </c>
    </row>
    <row r="118" spans="1:16" ht="15.6" x14ac:dyDescent="0.6">
      <c r="A118" s="32" t="s">
        <v>941</v>
      </c>
      <c r="B118" s="33">
        <v>1000</v>
      </c>
      <c r="C118" s="33">
        <v>4450</v>
      </c>
      <c r="D118" s="33">
        <v>1500</v>
      </c>
      <c r="E118" s="33"/>
      <c r="F118" s="33">
        <v>12500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5">
        <v>0</v>
      </c>
      <c r="O118" s="44">
        <v>19450</v>
      </c>
      <c r="P118" s="37"/>
    </row>
    <row r="119" spans="1:16" ht="15.6" x14ac:dyDescent="0.6">
      <c r="A119" s="32" t="s">
        <v>920</v>
      </c>
      <c r="B119" s="33">
        <v>29759.919999999998</v>
      </c>
      <c r="C119" s="33">
        <v>27082.559999999998</v>
      </c>
      <c r="D119" s="33">
        <v>0</v>
      </c>
      <c r="E119" s="33"/>
      <c r="F119" s="33">
        <v>25526.14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5">
        <v>0</v>
      </c>
      <c r="O119" s="45">
        <v>82368.62</v>
      </c>
      <c r="P119" s="37"/>
    </row>
    <row r="120" spans="1:16" ht="15.6" x14ac:dyDescent="0.6">
      <c r="A120" s="46" t="s">
        <v>942</v>
      </c>
      <c r="B120" s="47">
        <v>158994.72000000003</v>
      </c>
      <c r="C120" s="47">
        <v>274206.56</v>
      </c>
      <c r="D120" s="47">
        <v>380419.60399999999</v>
      </c>
      <c r="E120" s="47"/>
      <c r="F120" s="47">
        <v>470736.93520000001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8">
        <v>1284357.8192</v>
      </c>
      <c r="P120" s="37"/>
    </row>
  </sheetData>
  <mergeCells count="37">
    <mergeCell ref="A5:A8"/>
    <mergeCell ref="B5:B8"/>
    <mergeCell ref="A9:A15"/>
    <mergeCell ref="B9:B15"/>
    <mergeCell ref="H1:H2"/>
    <mergeCell ref="A3:A4"/>
    <mergeCell ref="B3:B4"/>
    <mergeCell ref="C1:D1"/>
    <mergeCell ref="F1:F2"/>
    <mergeCell ref="G1:G2"/>
    <mergeCell ref="A1:A2"/>
    <mergeCell ref="B1:B2"/>
    <mergeCell ref="A20:A24"/>
    <mergeCell ref="A25:A26"/>
    <mergeCell ref="B25:B26"/>
    <mergeCell ref="A16:A19"/>
    <mergeCell ref="A27:A31"/>
    <mergeCell ref="B27:B31"/>
    <mergeCell ref="A35:A38"/>
    <mergeCell ref="A39:A41"/>
    <mergeCell ref="B39:B41"/>
    <mergeCell ref="A32:A34"/>
    <mergeCell ref="B32:B34"/>
    <mergeCell ref="A42:A46"/>
    <mergeCell ref="A47:A49"/>
    <mergeCell ref="B47:B49"/>
    <mergeCell ref="A54:A58"/>
    <mergeCell ref="B54:B58"/>
    <mergeCell ref="A85:A89"/>
    <mergeCell ref="B85:B89"/>
    <mergeCell ref="A50:A53"/>
    <mergeCell ref="B50:B53"/>
    <mergeCell ref="A80:A84"/>
    <mergeCell ref="B80:B84"/>
    <mergeCell ref="A59:A67"/>
    <mergeCell ref="B65:B67"/>
    <mergeCell ref="A68:A79"/>
  </mergeCells>
  <conditionalFormatting sqref="G3:G93">
    <cfRule type="cellIs" dxfId="15" priority="1" operator="equal">
      <formula>"Pursuing Introduction"</formula>
    </cfRule>
    <cfRule type="cellIs" dxfId="14" priority="2" operator="equal">
      <formula>"Pursuing Pilot"</formula>
    </cfRule>
    <cfRule type="cellIs" dxfId="13" priority="3" operator="equal">
      <formula>"Waiting for next project"</formula>
    </cfRule>
    <cfRule type="cellIs" dxfId="12" priority="4" operator="equal">
      <formula>"Active Projects/Program"</formula>
    </cfRule>
  </conditionalFormatting>
  <conditionalFormatting sqref="K3:K6">
    <cfRule type="cellIs" dxfId="11" priority="9" operator="equal">
      <formula>"Pursuing Introduction"</formula>
    </cfRule>
    <cfRule type="cellIs" dxfId="10" priority="10" operator="equal">
      <formula>"Pursuing Pilot"</formula>
    </cfRule>
    <cfRule type="cellIs" dxfId="9" priority="11" operator="equal">
      <formula>"Waiting for next project"</formula>
    </cfRule>
    <cfRule type="cellIs" dxfId="8" priority="12" operator="equal">
      <formula>"Active Projects/Program"</formula>
    </cfRule>
  </conditionalFormatting>
  <dataValidations count="1">
    <dataValidation type="list" allowBlank="1" showInputMessage="1" showErrorMessage="1" sqref="K3:K6 G3:G93" xr:uid="{1EFDF06C-BBCF-4852-826F-237EA6EE0689}">
      <formula1>"-, Active Projects/Program, Waiting for Next Project, Pursuing Pilot, Pursuing Introduction"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1DAA-F4B8-4476-BEAF-15CE76D57F8A}">
  <dimension ref="A1:F30"/>
  <sheetViews>
    <sheetView workbookViewId="0">
      <selection activeCell="C8" sqref="C8"/>
    </sheetView>
  </sheetViews>
  <sheetFormatPr defaultColWidth="8.83984375" defaultRowHeight="14.4" x14ac:dyDescent="0.55000000000000004"/>
  <cols>
    <col min="2" max="10" width="35.41796875" customWidth="1"/>
  </cols>
  <sheetData>
    <row r="1" spans="1:5" ht="26.4" x14ac:dyDescent="1">
      <c r="A1" s="57" t="s">
        <v>943</v>
      </c>
    </row>
    <row r="2" spans="1:5" x14ac:dyDescent="0.55000000000000004">
      <c r="A2" t="s">
        <v>944</v>
      </c>
      <c r="B2" s="58">
        <v>46000</v>
      </c>
    </row>
    <row r="3" spans="1:5" x14ac:dyDescent="0.55000000000000004">
      <c r="B3" s="58"/>
    </row>
    <row r="4" spans="1:5" x14ac:dyDescent="0.55000000000000004">
      <c r="B4" s="49" t="s">
        <v>945</v>
      </c>
    </row>
    <row r="5" spans="1:5" x14ac:dyDescent="0.55000000000000004">
      <c r="A5" s="56" t="s">
        <v>946</v>
      </c>
      <c r="B5" s="56" t="s">
        <v>740</v>
      </c>
      <c r="C5" s="56" t="s">
        <v>810</v>
      </c>
      <c r="D5" s="56" t="s">
        <v>749</v>
      </c>
      <c r="E5" s="56" t="s">
        <v>947</v>
      </c>
    </row>
    <row r="6" spans="1:5" x14ac:dyDescent="0.55000000000000004">
      <c r="A6" s="50">
        <v>1</v>
      </c>
      <c r="B6" s="59"/>
      <c r="C6" s="59"/>
      <c r="D6" s="59"/>
      <c r="E6" s="59"/>
    </row>
    <row r="7" spans="1:5" ht="43.2" x14ac:dyDescent="0.55000000000000004">
      <c r="A7" s="50">
        <v>2</v>
      </c>
      <c r="B7" s="59" t="s">
        <v>948</v>
      </c>
      <c r="C7" s="59" t="s">
        <v>949</v>
      </c>
      <c r="D7" s="59"/>
      <c r="E7" s="59"/>
    </row>
    <row r="8" spans="1:5" ht="43.2" x14ac:dyDescent="0.55000000000000004">
      <c r="A8" s="50">
        <v>3</v>
      </c>
      <c r="B8" s="59" t="s">
        <v>950</v>
      </c>
      <c r="C8" s="59" t="s">
        <v>951</v>
      </c>
      <c r="D8" s="59"/>
      <c r="E8" s="59"/>
    </row>
    <row r="9" spans="1:5" ht="28.8" x14ac:dyDescent="0.55000000000000004">
      <c r="A9" s="50">
        <v>4</v>
      </c>
      <c r="B9" s="59"/>
      <c r="C9" s="59" t="s">
        <v>952</v>
      </c>
      <c r="D9" s="59"/>
      <c r="E9" s="59"/>
    </row>
    <row r="10" spans="1:5" ht="43.2" x14ac:dyDescent="0.55000000000000004">
      <c r="A10" s="50">
        <v>5</v>
      </c>
      <c r="B10" s="59"/>
      <c r="C10" s="59" t="s">
        <v>953</v>
      </c>
      <c r="D10" s="59"/>
      <c r="E10" s="59"/>
    </row>
    <row r="11" spans="1:5" ht="28.8" x14ac:dyDescent="0.55000000000000004">
      <c r="A11" s="50">
        <v>6</v>
      </c>
      <c r="B11" s="60"/>
      <c r="C11" s="59" t="s">
        <v>954</v>
      </c>
      <c r="D11" s="59"/>
      <c r="E11" s="59"/>
    </row>
    <row r="12" spans="1:5" ht="28.8" x14ac:dyDescent="0.55000000000000004">
      <c r="A12" s="50">
        <v>7</v>
      </c>
      <c r="C12" s="59" t="s">
        <v>955</v>
      </c>
      <c r="D12" s="59"/>
      <c r="E12" s="59"/>
    </row>
    <row r="13" spans="1:5" ht="43.2" x14ac:dyDescent="0.55000000000000004">
      <c r="A13" s="50">
        <v>8</v>
      </c>
      <c r="B13" s="59"/>
      <c r="C13" s="59" t="s">
        <v>956</v>
      </c>
      <c r="D13" s="59"/>
      <c r="E13" s="59"/>
    </row>
    <row r="14" spans="1:5" ht="28.8" x14ac:dyDescent="0.55000000000000004">
      <c r="A14" s="50">
        <v>9</v>
      </c>
      <c r="B14" s="59"/>
      <c r="C14" s="59" t="s">
        <v>957</v>
      </c>
      <c r="D14" s="59"/>
      <c r="E14" s="59"/>
    </row>
    <row r="15" spans="1:5" ht="43.2" x14ac:dyDescent="0.55000000000000004">
      <c r="A15" s="50">
        <v>10</v>
      </c>
      <c r="B15" s="59"/>
      <c r="C15" s="59" t="s">
        <v>958</v>
      </c>
      <c r="D15" s="59"/>
      <c r="E15" s="59"/>
    </row>
    <row r="19" spans="1:6" x14ac:dyDescent="0.55000000000000004">
      <c r="B19" s="49" t="s">
        <v>945</v>
      </c>
    </row>
    <row r="20" spans="1:6" x14ac:dyDescent="0.55000000000000004">
      <c r="A20" s="56" t="s">
        <v>946</v>
      </c>
      <c r="B20" s="56" t="s">
        <v>787</v>
      </c>
      <c r="C20" s="56" t="s">
        <v>959</v>
      </c>
      <c r="D20" s="56" t="s">
        <v>752</v>
      </c>
      <c r="E20" s="56" t="s">
        <v>960</v>
      </c>
      <c r="F20" s="56" t="s">
        <v>961</v>
      </c>
    </row>
    <row r="21" spans="1:6" x14ac:dyDescent="0.55000000000000004">
      <c r="A21" s="50">
        <v>1</v>
      </c>
      <c r="B21" s="91"/>
      <c r="C21" s="91"/>
      <c r="D21" s="92"/>
      <c r="E21" s="59"/>
      <c r="F21" s="59"/>
    </row>
    <row r="22" spans="1:6" x14ac:dyDescent="0.55000000000000004">
      <c r="A22" s="51">
        <v>2</v>
      </c>
      <c r="B22" s="50"/>
      <c r="C22" s="59"/>
      <c r="D22" s="73"/>
      <c r="F22" s="59"/>
    </row>
    <row r="23" spans="1:6" x14ac:dyDescent="0.55000000000000004">
      <c r="A23" s="51">
        <v>3</v>
      </c>
      <c r="B23" s="50"/>
      <c r="C23" s="59"/>
      <c r="D23" s="50"/>
      <c r="E23" s="59"/>
      <c r="F23" s="59"/>
    </row>
    <row r="24" spans="1:6" x14ac:dyDescent="0.55000000000000004">
      <c r="A24" s="51">
        <v>4</v>
      </c>
      <c r="B24" s="59"/>
      <c r="C24" s="59"/>
      <c r="D24" s="59"/>
      <c r="E24" s="59"/>
      <c r="F24" s="59"/>
    </row>
    <row r="25" spans="1:6" x14ac:dyDescent="0.55000000000000004">
      <c r="A25" s="50">
        <v>5</v>
      </c>
      <c r="B25" s="93"/>
      <c r="D25" s="93"/>
      <c r="E25" s="59"/>
      <c r="F25" s="59"/>
    </row>
    <row r="26" spans="1:6" x14ac:dyDescent="0.55000000000000004">
      <c r="A26" s="50">
        <v>6</v>
      </c>
      <c r="B26" s="59"/>
      <c r="C26" s="59"/>
      <c r="D26" s="59"/>
      <c r="E26" s="59"/>
      <c r="F26" s="59"/>
    </row>
    <row r="27" spans="1:6" x14ac:dyDescent="0.55000000000000004">
      <c r="A27" s="50">
        <v>7</v>
      </c>
      <c r="B27" s="59"/>
      <c r="C27" s="59"/>
      <c r="D27" s="59"/>
      <c r="E27" s="59"/>
      <c r="F27" s="59"/>
    </row>
    <row r="28" spans="1:6" x14ac:dyDescent="0.55000000000000004">
      <c r="A28" s="50">
        <v>8</v>
      </c>
      <c r="B28" s="59"/>
      <c r="C28" s="59"/>
      <c r="D28" s="59"/>
      <c r="E28" s="59"/>
      <c r="F28" s="59"/>
    </row>
    <row r="29" spans="1:6" x14ac:dyDescent="0.55000000000000004">
      <c r="A29" s="50">
        <v>9</v>
      </c>
      <c r="B29" s="59"/>
      <c r="C29" s="59"/>
      <c r="D29" s="59"/>
      <c r="E29" s="59"/>
      <c r="F29" s="59"/>
    </row>
    <row r="30" spans="1:6" x14ac:dyDescent="0.55000000000000004">
      <c r="A30" s="50">
        <v>10</v>
      </c>
      <c r="B30" s="59"/>
      <c r="C30" s="59"/>
      <c r="D30" s="59"/>
      <c r="E30" s="59"/>
      <c r="F30" s="59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159F-331F-4626-AA09-63402A71CBE4}">
  <sheetPr>
    <tabColor rgb="FFFF0000"/>
  </sheetPr>
  <dimension ref="A1:AD109"/>
  <sheetViews>
    <sheetView workbookViewId="0">
      <pane ySplit="1" topLeftCell="A2" activePane="bottomLeft" state="frozen"/>
      <selection activeCell="B1" sqref="B1"/>
      <selection pane="bottomLeft" activeCell="AE85" sqref="AE85"/>
    </sheetView>
  </sheetViews>
  <sheetFormatPr defaultColWidth="9.15625" defaultRowHeight="15" customHeight="1" x14ac:dyDescent="0.55000000000000004"/>
  <cols>
    <col min="1" max="1" width="29.26171875" customWidth="1"/>
    <col min="2" max="2" width="26" customWidth="1"/>
    <col min="3" max="3" width="38.15625" customWidth="1"/>
    <col min="4" max="5" width="19.41796875" customWidth="1"/>
    <col min="6" max="6" width="35.15625" customWidth="1"/>
    <col min="7" max="18" width="8" hidden="1" customWidth="1"/>
    <col min="19" max="19" width="9.15625" customWidth="1"/>
    <col min="20" max="21" width="10.15625" customWidth="1"/>
    <col min="22" max="30" width="10.15625" hidden="1" customWidth="1"/>
    <col min="31" max="31" width="10.15625" customWidth="1"/>
  </cols>
  <sheetData>
    <row r="1" spans="1:30" s="127" customFormat="1" ht="28.8" x14ac:dyDescent="0.55000000000000004">
      <c r="A1" s="124" t="s">
        <v>962</v>
      </c>
      <c r="B1" s="123" t="s">
        <v>436</v>
      </c>
      <c r="C1" s="149" t="s">
        <v>696</v>
      </c>
      <c r="D1" s="125" t="s">
        <v>690</v>
      </c>
      <c r="E1" s="125" t="s">
        <v>692</v>
      </c>
      <c r="F1" s="126" t="s">
        <v>963</v>
      </c>
      <c r="G1" s="127" t="s">
        <v>810</v>
      </c>
      <c r="H1" s="127" t="s">
        <v>749</v>
      </c>
      <c r="I1" s="127" t="s">
        <v>887</v>
      </c>
      <c r="J1" s="127" t="s">
        <v>787</v>
      </c>
      <c r="K1" s="127" t="s">
        <v>959</v>
      </c>
      <c r="L1" s="127" t="s">
        <v>752</v>
      </c>
      <c r="M1" s="127" t="s">
        <v>960</v>
      </c>
      <c r="N1" s="127" t="s">
        <v>961</v>
      </c>
      <c r="O1" s="127" t="s">
        <v>964</v>
      </c>
      <c r="P1" s="127" t="s">
        <v>965</v>
      </c>
      <c r="Q1" s="127" t="s">
        <v>966</v>
      </c>
      <c r="R1" s="127" t="s">
        <v>967</v>
      </c>
      <c r="S1" s="138" t="s">
        <v>968</v>
      </c>
      <c r="T1" s="138" t="s">
        <v>969</v>
      </c>
      <c r="U1" s="138" t="s">
        <v>970</v>
      </c>
      <c r="V1" s="138" t="s">
        <v>971</v>
      </c>
      <c r="W1" s="138" t="s">
        <v>931</v>
      </c>
      <c r="X1" s="138" t="s">
        <v>972</v>
      </c>
      <c r="Y1" s="138" t="s">
        <v>973</v>
      </c>
      <c r="Z1" s="138" t="s">
        <v>974</v>
      </c>
      <c r="AA1" s="138" t="s">
        <v>975</v>
      </c>
      <c r="AB1" s="138" t="s">
        <v>976</v>
      </c>
      <c r="AC1" s="138" t="s">
        <v>977</v>
      </c>
      <c r="AD1" s="138" t="s">
        <v>978</v>
      </c>
    </row>
    <row r="2" spans="1:30" ht="14.4" x14ac:dyDescent="0.55000000000000004">
      <c r="A2" s="130" t="s">
        <v>745</v>
      </c>
      <c r="B2" s="143" t="s">
        <v>739</v>
      </c>
      <c r="C2" s="137" t="s">
        <v>746</v>
      </c>
      <c r="D2" s="120" t="s">
        <v>960</v>
      </c>
      <c r="E2" s="130" t="s">
        <v>979</v>
      </c>
      <c r="F2" s="129" t="s">
        <v>980</v>
      </c>
      <c r="G2">
        <f t="shared" ref="G2:G25" si="0">IF(D2="Jason",1,0)</f>
        <v>0</v>
      </c>
      <c r="H2">
        <f t="shared" ref="H2:H25" si="1">IF($D2="Jordan",1,0)</f>
        <v>0</v>
      </c>
      <c r="I2">
        <f t="shared" ref="I2:I25" si="2">IF($D2="John",1,0)</f>
        <v>0</v>
      </c>
      <c r="J2">
        <f t="shared" ref="J2:J25" si="3">IF($D2="Yigit",1,0)</f>
        <v>0</v>
      </c>
      <c r="K2">
        <f t="shared" ref="K2:K25" si="4">IF($D2="Cagla",1,0)</f>
        <v>0</v>
      </c>
      <c r="L2">
        <f t="shared" ref="L2:L25" si="5">IF($D2="Berkay",1,0)</f>
        <v>0</v>
      </c>
      <c r="M2">
        <f t="shared" ref="M2:M25" si="6">IF($D2="Gozde",1,0)</f>
        <v>1</v>
      </c>
      <c r="N2">
        <f t="shared" ref="N2:N25" si="7">IF($D2="Mertcan",1,0)</f>
        <v>0</v>
      </c>
      <c r="O2">
        <f t="shared" ref="O2:O25" si="8">IF($D2="Amy",1,0)</f>
        <v>0</v>
      </c>
      <c r="P2">
        <f t="shared" ref="P2:P25" si="9">IF($D2="Jason / Derya",1,0)</f>
        <v>0</v>
      </c>
      <c r="Q2">
        <f t="shared" ref="Q2:Q25" si="10">IF($D2="Jason / Basak",1,0)</f>
        <v>0</v>
      </c>
      <c r="R2">
        <f t="shared" ref="R2:R25" si="11">IF($D2="Jason / Cagla",1,0)</f>
        <v>0</v>
      </c>
      <c r="S2" s="141" t="b">
        <v>1</v>
      </c>
      <c r="T2" s="141" t="b">
        <v>1</v>
      </c>
      <c r="U2" s="141" t="b">
        <v>1</v>
      </c>
      <c r="V2" s="131"/>
      <c r="W2" s="131"/>
      <c r="X2" s="131"/>
      <c r="Y2" s="131"/>
      <c r="Z2" s="131"/>
      <c r="AA2" s="131"/>
      <c r="AB2" s="131"/>
      <c r="AC2" s="131"/>
      <c r="AD2" s="131"/>
    </row>
    <row r="3" spans="1:30" ht="14.4" x14ac:dyDescent="0.55000000000000004">
      <c r="A3" s="130" t="s">
        <v>981</v>
      </c>
      <c r="B3" s="143" t="s">
        <v>739</v>
      </c>
      <c r="C3" s="137" t="s">
        <v>795</v>
      </c>
      <c r="D3" s="120" t="s">
        <v>960</v>
      </c>
      <c r="E3" s="130"/>
      <c r="F3" s="129" t="s">
        <v>982</v>
      </c>
      <c r="G3">
        <f t="shared" si="0"/>
        <v>0</v>
      </c>
      <c r="H3">
        <f t="shared" si="1"/>
        <v>0</v>
      </c>
      <c r="I3">
        <f t="shared" si="2"/>
        <v>0</v>
      </c>
      <c r="J3">
        <f t="shared" si="3"/>
        <v>0</v>
      </c>
      <c r="K3">
        <f t="shared" si="4"/>
        <v>0</v>
      </c>
      <c r="L3">
        <f t="shared" si="5"/>
        <v>0</v>
      </c>
      <c r="M3">
        <f t="shared" si="6"/>
        <v>1</v>
      </c>
      <c r="N3">
        <f t="shared" si="7"/>
        <v>0</v>
      </c>
      <c r="O3">
        <f t="shared" si="8"/>
        <v>0</v>
      </c>
      <c r="P3">
        <f t="shared" si="9"/>
        <v>0</v>
      </c>
      <c r="Q3">
        <f t="shared" si="10"/>
        <v>0</v>
      </c>
      <c r="R3">
        <f t="shared" si="11"/>
        <v>0</v>
      </c>
      <c r="S3" s="141" t="b">
        <v>1</v>
      </c>
      <c r="T3" s="141" t="b">
        <v>1</v>
      </c>
      <c r="U3" s="141" t="b">
        <v>1</v>
      </c>
      <c r="V3" s="131"/>
      <c r="W3" s="131"/>
      <c r="X3" s="131"/>
      <c r="Y3" s="131"/>
      <c r="Z3" s="131"/>
      <c r="AA3" s="131"/>
      <c r="AB3" s="131"/>
      <c r="AC3" s="131"/>
      <c r="AD3" s="131"/>
    </row>
    <row r="4" spans="1:30" ht="14.4" x14ac:dyDescent="0.55000000000000004">
      <c r="A4" s="154" t="s">
        <v>741</v>
      </c>
      <c r="B4" s="143" t="s">
        <v>739</v>
      </c>
      <c r="C4" s="137" t="s">
        <v>742</v>
      </c>
      <c r="D4" s="122" t="s">
        <v>887</v>
      </c>
      <c r="E4" s="130"/>
      <c r="F4" s="128"/>
      <c r="G4">
        <f t="shared" si="0"/>
        <v>0</v>
      </c>
      <c r="H4">
        <f t="shared" si="1"/>
        <v>0</v>
      </c>
      <c r="I4">
        <f t="shared" si="2"/>
        <v>1</v>
      </c>
      <c r="J4">
        <f t="shared" si="3"/>
        <v>0</v>
      </c>
      <c r="K4">
        <f t="shared" si="4"/>
        <v>0</v>
      </c>
      <c r="L4">
        <f t="shared" si="5"/>
        <v>0</v>
      </c>
      <c r="M4">
        <f t="shared" si="6"/>
        <v>0</v>
      </c>
      <c r="N4">
        <f t="shared" si="7"/>
        <v>0</v>
      </c>
      <c r="O4">
        <f t="shared" si="8"/>
        <v>0</v>
      </c>
      <c r="P4">
        <f t="shared" si="9"/>
        <v>0</v>
      </c>
      <c r="Q4">
        <f t="shared" si="10"/>
        <v>0</v>
      </c>
      <c r="R4">
        <f t="shared" si="11"/>
        <v>0</v>
      </c>
      <c r="S4" s="141" t="b">
        <v>0</v>
      </c>
      <c r="T4" s="141" t="b">
        <v>1</v>
      </c>
      <c r="U4" s="141" t="b">
        <v>1</v>
      </c>
      <c r="V4" s="131"/>
      <c r="W4" s="131"/>
      <c r="X4" s="131"/>
      <c r="Y4" s="131"/>
      <c r="Z4" s="131"/>
      <c r="AA4" s="131"/>
      <c r="AB4" s="131"/>
      <c r="AC4" s="131"/>
      <c r="AD4" s="131"/>
    </row>
    <row r="5" spans="1:30" ht="14.4" x14ac:dyDescent="0.55000000000000004">
      <c r="A5" s="154" t="s">
        <v>711</v>
      </c>
      <c r="B5" s="143" t="s">
        <v>983</v>
      </c>
      <c r="C5" s="137" t="s">
        <v>712</v>
      </c>
      <c r="D5" s="120" t="s">
        <v>961</v>
      </c>
      <c r="E5" s="130" t="s">
        <v>979</v>
      </c>
      <c r="F5" s="128" t="s">
        <v>984</v>
      </c>
      <c r="G5">
        <f t="shared" si="0"/>
        <v>0</v>
      </c>
      <c r="H5">
        <f t="shared" si="1"/>
        <v>0</v>
      </c>
      <c r="I5">
        <f t="shared" si="2"/>
        <v>0</v>
      </c>
      <c r="J5">
        <f t="shared" si="3"/>
        <v>0</v>
      </c>
      <c r="K5">
        <f t="shared" si="4"/>
        <v>0</v>
      </c>
      <c r="L5">
        <f t="shared" si="5"/>
        <v>0</v>
      </c>
      <c r="M5">
        <f t="shared" si="6"/>
        <v>0</v>
      </c>
      <c r="N5">
        <f t="shared" si="7"/>
        <v>1</v>
      </c>
      <c r="O5">
        <f t="shared" si="8"/>
        <v>0</v>
      </c>
      <c r="P5">
        <f t="shared" si="9"/>
        <v>0</v>
      </c>
      <c r="Q5">
        <f t="shared" si="10"/>
        <v>0</v>
      </c>
      <c r="R5">
        <f t="shared" si="11"/>
        <v>0</v>
      </c>
      <c r="S5" s="141" t="b">
        <v>1</v>
      </c>
      <c r="T5" s="141" t="b">
        <v>1</v>
      </c>
      <c r="U5" s="141" t="b">
        <v>1</v>
      </c>
      <c r="V5" s="131"/>
      <c r="W5" s="131"/>
      <c r="X5" s="131"/>
      <c r="Y5" s="131"/>
      <c r="Z5" s="131"/>
      <c r="AA5" s="131"/>
      <c r="AB5" s="131"/>
      <c r="AC5" s="131"/>
      <c r="AD5" s="131"/>
    </row>
    <row r="6" spans="1:30" ht="14.4" x14ac:dyDescent="0.55000000000000004">
      <c r="A6" s="119" t="s">
        <v>985</v>
      </c>
      <c r="B6" s="143" t="s">
        <v>699</v>
      </c>
      <c r="C6" s="156" t="s">
        <v>715</v>
      </c>
      <c r="D6" s="121" t="s">
        <v>752</v>
      </c>
      <c r="E6" s="121"/>
      <c r="F6" s="136" t="s">
        <v>865</v>
      </c>
      <c r="G6">
        <f t="shared" si="0"/>
        <v>0</v>
      </c>
      <c r="H6">
        <f t="shared" si="1"/>
        <v>0</v>
      </c>
      <c r="I6">
        <f t="shared" si="2"/>
        <v>0</v>
      </c>
      <c r="J6">
        <f t="shared" si="3"/>
        <v>0</v>
      </c>
      <c r="K6">
        <f t="shared" si="4"/>
        <v>0</v>
      </c>
      <c r="L6">
        <f t="shared" si="5"/>
        <v>1</v>
      </c>
      <c r="M6">
        <f t="shared" si="6"/>
        <v>0</v>
      </c>
      <c r="N6">
        <f t="shared" si="7"/>
        <v>0</v>
      </c>
      <c r="O6">
        <f t="shared" si="8"/>
        <v>0</v>
      </c>
      <c r="P6">
        <f t="shared" si="9"/>
        <v>0</v>
      </c>
      <c r="Q6">
        <f t="shared" si="10"/>
        <v>0</v>
      </c>
      <c r="R6">
        <f t="shared" si="11"/>
        <v>0</v>
      </c>
      <c r="S6" s="141" t="b">
        <v>0</v>
      </c>
      <c r="T6" s="141" t="b">
        <v>1</v>
      </c>
      <c r="U6" s="141" t="b">
        <v>1</v>
      </c>
      <c r="V6" s="131"/>
      <c r="W6" s="131"/>
      <c r="X6" s="131"/>
      <c r="Y6" s="131"/>
      <c r="Z6" s="131"/>
      <c r="AA6" s="131"/>
      <c r="AB6" s="131"/>
      <c r="AC6" s="131"/>
      <c r="AD6" s="131"/>
    </row>
    <row r="7" spans="1:30" ht="14.4" x14ac:dyDescent="0.55000000000000004">
      <c r="A7" s="119" t="s">
        <v>701</v>
      </c>
      <c r="B7" s="143" t="s">
        <v>699</v>
      </c>
      <c r="C7" s="156" t="s">
        <v>702</v>
      </c>
      <c r="D7" s="122" t="s">
        <v>810</v>
      </c>
      <c r="E7" s="121"/>
      <c r="F7" s="119" t="s">
        <v>986</v>
      </c>
      <c r="G7">
        <f t="shared" si="0"/>
        <v>1</v>
      </c>
      <c r="H7">
        <f t="shared" si="1"/>
        <v>0</v>
      </c>
      <c r="I7">
        <f t="shared" si="2"/>
        <v>0</v>
      </c>
      <c r="J7">
        <f t="shared" si="3"/>
        <v>0</v>
      </c>
      <c r="K7">
        <f t="shared" si="4"/>
        <v>0</v>
      </c>
      <c r="L7">
        <f t="shared" si="5"/>
        <v>0</v>
      </c>
      <c r="M7">
        <f t="shared" si="6"/>
        <v>0</v>
      </c>
      <c r="N7">
        <f t="shared" si="7"/>
        <v>0</v>
      </c>
      <c r="O7">
        <f t="shared" si="8"/>
        <v>0</v>
      </c>
      <c r="P7">
        <f t="shared" si="9"/>
        <v>0</v>
      </c>
      <c r="Q7">
        <f t="shared" si="10"/>
        <v>0</v>
      </c>
      <c r="R7">
        <f t="shared" si="11"/>
        <v>0</v>
      </c>
      <c r="S7" s="141" t="b">
        <v>1</v>
      </c>
      <c r="T7" s="141" t="b">
        <v>1</v>
      </c>
      <c r="U7" s="141" t="b">
        <v>1</v>
      </c>
      <c r="V7" s="131"/>
      <c r="W7" s="131"/>
      <c r="X7" s="131"/>
      <c r="Y7" s="131"/>
      <c r="Z7" s="131"/>
      <c r="AA7" s="131"/>
      <c r="AB7" s="131"/>
      <c r="AC7" s="131"/>
      <c r="AD7" s="131"/>
    </row>
    <row r="8" spans="1:30" ht="14.4" x14ac:dyDescent="0.55000000000000004">
      <c r="A8" s="119" t="s">
        <v>987</v>
      </c>
      <c r="B8" s="143" t="s">
        <v>699</v>
      </c>
      <c r="C8" s="156" t="s">
        <v>726</v>
      </c>
      <c r="D8" s="122" t="s">
        <v>810</v>
      </c>
      <c r="E8" s="121"/>
      <c r="F8" s="119" t="s">
        <v>986</v>
      </c>
      <c r="G8">
        <f t="shared" si="0"/>
        <v>1</v>
      </c>
      <c r="H8">
        <f t="shared" si="1"/>
        <v>0</v>
      </c>
      <c r="I8">
        <f t="shared" si="2"/>
        <v>0</v>
      </c>
      <c r="J8">
        <f t="shared" si="3"/>
        <v>0</v>
      </c>
      <c r="K8">
        <f t="shared" si="4"/>
        <v>0</v>
      </c>
      <c r="L8">
        <f t="shared" si="5"/>
        <v>0</v>
      </c>
      <c r="M8">
        <f t="shared" si="6"/>
        <v>0</v>
      </c>
      <c r="N8">
        <f t="shared" si="7"/>
        <v>0</v>
      </c>
      <c r="O8">
        <f t="shared" si="8"/>
        <v>0</v>
      </c>
      <c r="P8">
        <f t="shared" si="9"/>
        <v>0</v>
      </c>
      <c r="Q8">
        <f t="shared" si="10"/>
        <v>0</v>
      </c>
      <c r="R8">
        <f t="shared" si="11"/>
        <v>0</v>
      </c>
      <c r="S8" s="141" t="b">
        <v>1</v>
      </c>
      <c r="T8" s="141" t="b">
        <v>1</v>
      </c>
      <c r="U8" s="141" t="b">
        <v>1</v>
      </c>
      <c r="V8" s="131"/>
      <c r="W8" s="131"/>
      <c r="X8" s="131"/>
      <c r="Y8" s="131"/>
      <c r="Z8" s="131"/>
      <c r="AA8" s="131"/>
      <c r="AB8" s="131"/>
      <c r="AC8" s="131"/>
      <c r="AD8" s="131"/>
    </row>
    <row r="9" spans="1:30" ht="14.4" x14ac:dyDescent="0.55000000000000004">
      <c r="A9" s="81" t="s">
        <v>111</v>
      </c>
      <c r="B9" s="143" t="s">
        <v>108</v>
      </c>
      <c r="C9" s="78" t="s">
        <v>771</v>
      </c>
      <c r="D9" s="120" t="s">
        <v>810</v>
      </c>
      <c r="E9" s="130"/>
      <c r="F9" s="129" t="s">
        <v>988</v>
      </c>
      <c r="G9">
        <f t="shared" si="0"/>
        <v>1</v>
      </c>
      <c r="H9">
        <f t="shared" si="1"/>
        <v>0</v>
      </c>
      <c r="I9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  <c r="M9">
        <f t="shared" si="6"/>
        <v>0</v>
      </c>
      <c r="N9">
        <f t="shared" si="7"/>
        <v>0</v>
      </c>
      <c r="O9">
        <f t="shared" si="8"/>
        <v>0</v>
      </c>
      <c r="P9">
        <f t="shared" si="9"/>
        <v>0</v>
      </c>
      <c r="Q9">
        <f t="shared" si="10"/>
        <v>0</v>
      </c>
      <c r="R9">
        <f t="shared" si="11"/>
        <v>0</v>
      </c>
      <c r="S9" s="141" t="b">
        <v>0</v>
      </c>
      <c r="T9" s="141" t="b">
        <v>0</v>
      </c>
      <c r="U9" s="141" t="b">
        <v>0</v>
      </c>
      <c r="V9" s="131"/>
      <c r="W9" s="131"/>
      <c r="X9" s="131"/>
      <c r="Y9" s="131"/>
      <c r="Z9" s="131"/>
      <c r="AA9" s="131"/>
      <c r="AB9" s="131"/>
      <c r="AC9" s="131"/>
      <c r="AD9" s="131"/>
    </row>
    <row r="10" spans="1:30" ht="14.4" x14ac:dyDescent="0.55000000000000004">
      <c r="A10" s="81" t="s">
        <v>773</v>
      </c>
      <c r="B10" s="143" t="s">
        <v>108</v>
      </c>
      <c r="C10" s="78" t="s">
        <v>726</v>
      </c>
      <c r="D10" s="120" t="s">
        <v>810</v>
      </c>
      <c r="E10" s="130" t="s">
        <v>989</v>
      </c>
      <c r="F10" s="129" t="s">
        <v>990</v>
      </c>
      <c r="G10">
        <f t="shared" si="0"/>
        <v>1</v>
      </c>
      <c r="H10">
        <f t="shared" si="1"/>
        <v>0</v>
      </c>
      <c r="I10">
        <f t="shared" si="2"/>
        <v>0</v>
      </c>
      <c r="J10">
        <f t="shared" si="3"/>
        <v>0</v>
      </c>
      <c r="K10">
        <f t="shared" si="4"/>
        <v>0</v>
      </c>
      <c r="L10">
        <f t="shared" si="5"/>
        <v>0</v>
      </c>
      <c r="M10">
        <f t="shared" si="6"/>
        <v>0</v>
      </c>
      <c r="N10">
        <f t="shared" si="7"/>
        <v>0</v>
      </c>
      <c r="O10">
        <f t="shared" si="8"/>
        <v>0</v>
      </c>
      <c r="P10">
        <f t="shared" si="9"/>
        <v>0</v>
      </c>
      <c r="Q10">
        <f t="shared" si="10"/>
        <v>0</v>
      </c>
      <c r="R10">
        <f t="shared" si="11"/>
        <v>0</v>
      </c>
      <c r="S10" s="141" t="b">
        <v>1</v>
      </c>
      <c r="T10" s="141" t="b">
        <v>1</v>
      </c>
      <c r="U10" s="141" t="b">
        <v>1</v>
      </c>
      <c r="V10" s="131"/>
      <c r="W10" s="131"/>
      <c r="X10" s="131"/>
      <c r="Y10" s="131"/>
      <c r="Z10" s="131"/>
      <c r="AA10" s="131"/>
      <c r="AB10" s="131"/>
      <c r="AC10" s="131"/>
      <c r="AD10" s="131"/>
    </row>
    <row r="11" spans="1:30" ht="14.4" x14ac:dyDescent="0.55000000000000004">
      <c r="A11" s="81" t="s">
        <v>113</v>
      </c>
      <c r="B11" s="143" t="s">
        <v>108</v>
      </c>
      <c r="C11" s="78" t="s">
        <v>771</v>
      </c>
      <c r="D11" s="120" t="s">
        <v>749</v>
      </c>
      <c r="E11" s="130" t="s">
        <v>991</v>
      </c>
      <c r="F11" s="129" t="s">
        <v>992</v>
      </c>
      <c r="G11">
        <f t="shared" si="0"/>
        <v>0</v>
      </c>
      <c r="H11">
        <f t="shared" si="1"/>
        <v>1</v>
      </c>
      <c r="I11">
        <f t="shared" si="2"/>
        <v>0</v>
      </c>
      <c r="J11">
        <f t="shared" si="3"/>
        <v>0</v>
      </c>
      <c r="K11">
        <f t="shared" si="4"/>
        <v>0</v>
      </c>
      <c r="L11">
        <f t="shared" si="5"/>
        <v>0</v>
      </c>
      <c r="M11">
        <f t="shared" si="6"/>
        <v>0</v>
      </c>
      <c r="N11">
        <f t="shared" si="7"/>
        <v>0</v>
      </c>
      <c r="O11">
        <f t="shared" si="8"/>
        <v>0</v>
      </c>
      <c r="P11">
        <f t="shared" si="9"/>
        <v>0</v>
      </c>
      <c r="Q11">
        <f t="shared" si="10"/>
        <v>0</v>
      </c>
      <c r="R11">
        <f t="shared" si="11"/>
        <v>0</v>
      </c>
      <c r="S11" s="141" t="b">
        <v>1</v>
      </c>
      <c r="T11" s="141" t="b">
        <v>1</v>
      </c>
      <c r="U11" s="141" t="b">
        <v>1</v>
      </c>
      <c r="V11" s="131"/>
      <c r="W11" s="131"/>
      <c r="X11" s="131"/>
      <c r="Y11" s="131"/>
      <c r="Z11" s="131"/>
      <c r="AA11" s="131"/>
      <c r="AB11" s="131"/>
      <c r="AC11" s="131"/>
      <c r="AD11" s="131"/>
    </row>
    <row r="12" spans="1:30" ht="14.4" x14ac:dyDescent="0.55000000000000004">
      <c r="A12" s="81" t="s">
        <v>772</v>
      </c>
      <c r="B12" s="143" t="s">
        <v>108</v>
      </c>
      <c r="C12" s="78" t="s">
        <v>715</v>
      </c>
      <c r="D12" s="120" t="s">
        <v>749</v>
      </c>
      <c r="E12" s="130"/>
      <c r="F12" s="129"/>
      <c r="G12">
        <f t="shared" si="0"/>
        <v>0</v>
      </c>
      <c r="H12">
        <f t="shared" si="1"/>
        <v>1</v>
      </c>
      <c r="I12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  <c r="M12">
        <f t="shared" si="6"/>
        <v>0</v>
      </c>
      <c r="N12">
        <f t="shared" si="7"/>
        <v>0</v>
      </c>
      <c r="O12">
        <f t="shared" si="8"/>
        <v>0</v>
      </c>
      <c r="P12">
        <f t="shared" si="9"/>
        <v>0</v>
      </c>
      <c r="Q12">
        <f t="shared" si="10"/>
        <v>0</v>
      </c>
      <c r="R12">
        <f t="shared" si="11"/>
        <v>0</v>
      </c>
      <c r="S12" s="141" t="b">
        <v>1</v>
      </c>
      <c r="T12" s="141" t="b">
        <v>0</v>
      </c>
      <c r="U12" s="141" t="b">
        <v>0</v>
      </c>
      <c r="V12" s="131"/>
      <c r="W12" s="131"/>
      <c r="X12" s="131"/>
      <c r="Y12" s="131"/>
      <c r="Z12" s="131"/>
      <c r="AA12" s="131"/>
      <c r="AB12" s="131"/>
      <c r="AC12" s="131"/>
      <c r="AD12" s="131"/>
    </row>
    <row r="13" spans="1:30" ht="14.4" x14ac:dyDescent="0.55000000000000004">
      <c r="A13" s="88" t="s">
        <v>774</v>
      </c>
      <c r="B13" s="143" t="s">
        <v>108</v>
      </c>
      <c r="C13" s="78" t="s">
        <v>726</v>
      </c>
      <c r="D13" s="120" t="s">
        <v>749</v>
      </c>
      <c r="E13" s="130"/>
      <c r="F13" s="129"/>
      <c r="G13">
        <f t="shared" si="0"/>
        <v>0</v>
      </c>
      <c r="H13">
        <f t="shared" si="1"/>
        <v>1</v>
      </c>
      <c r="I13">
        <f t="shared" si="2"/>
        <v>0</v>
      </c>
      <c r="J13">
        <f t="shared" si="3"/>
        <v>0</v>
      </c>
      <c r="K13">
        <f t="shared" si="4"/>
        <v>0</v>
      </c>
      <c r="L13">
        <f t="shared" si="5"/>
        <v>0</v>
      </c>
      <c r="M13">
        <f t="shared" si="6"/>
        <v>0</v>
      </c>
      <c r="N13">
        <f t="shared" si="7"/>
        <v>0</v>
      </c>
      <c r="O13">
        <f t="shared" si="8"/>
        <v>0</v>
      </c>
      <c r="P13">
        <f t="shared" si="9"/>
        <v>0</v>
      </c>
      <c r="Q13">
        <f t="shared" si="10"/>
        <v>0</v>
      </c>
      <c r="R13">
        <f t="shared" si="11"/>
        <v>0</v>
      </c>
      <c r="S13" s="141" t="b">
        <v>1</v>
      </c>
      <c r="T13" s="141" t="b">
        <v>0</v>
      </c>
      <c r="U13" s="141" t="b">
        <v>0</v>
      </c>
      <c r="V13" s="131"/>
      <c r="W13" s="131"/>
      <c r="X13" s="131"/>
      <c r="Y13" s="131"/>
      <c r="Z13" s="131"/>
      <c r="AA13" s="131"/>
      <c r="AB13" s="131"/>
      <c r="AC13" s="131"/>
      <c r="AD13" s="131"/>
    </row>
    <row r="14" spans="1:30" ht="14.4" x14ac:dyDescent="0.55000000000000004">
      <c r="A14" s="169" t="s">
        <v>882</v>
      </c>
      <c r="B14" s="144" t="s">
        <v>993</v>
      </c>
      <c r="C14" s="78" t="s">
        <v>883</v>
      </c>
      <c r="D14" s="120" t="s">
        <v>810</v>
      </c>
      <c r="E14" s="130"/>
      <c r="F14" s="129" t="s">
        <v>884</v>
      </c>
      <c r="G14">
        <f t="shared" si="0"/>
        <v>1</v>
      </c>
      <c r="H14">
        <f t="shared" si="1"/>
        <v>0</v>
      </c>
      <c r="I14">
        <f t="shared" si="2"/>
        <v>0</v>
      </c>
      <c r="J14">
        <f t="shared" si="3"/>
        <v>0</v>
      </c>
      <c r="K14">
        <f t="shared" si="4"/>
        <v>0</v>
      </c>
      <c r="L14">
        <f t="shared" si="5"/>
        <v>0</v>
      </c>
      <c r="M14">
        <f t="shared" si="6"/>
        <v>0</v>
      </c>
      <c r="N14">
        <f t="shared" si="7"/>
        <v>0</v>
      </c>
      <c r="O14">
        <f t="shared" si="8"/>
        <v>0</v>
      </c>
      <c r="P14">
        <f t="shared" si="9"/>
        <v>0</v>
      </c>
      <c r="Q14">
        <f t="shared" si="10"/>
        <v>0</v>
      </c>
      <c r="R14">
        <f t="shared" si="11"/>
        <v>0</v>
      </c>
      <c r="S14" s="141" t="b">
        <v>0</v>
      </c>
      <c r="T14" s="141" t="b">
        <v>1</v>
      </c>
      <c r="U14" s="141" t="b">
        <v>0</v>
      </c>
      <c r="V14" s="131"/>
      <c r="W14" s="131"/>
      <c r="X14" s="131"/>
      <c r="Y14" s="131"/>
      <c r="Z14" s="131"/>
      <c r="AA14" s="131"/>
      <c r="AB14" s="131"/>
      <c r="AC14" s="131"/>
      <c r="AD14" s="131"/>
    </row>
    <row r="15" spans="1:30" ht="14.4" x14ac:dyDescent="0.55000000000000004">
      <c r="A15" s="142" t="s">
        <v>994</v>
      </c>
      <c r="B15" s="144" t="s">
        <v>995</v>
      </c>
      <c r="C15" s="83" t="s">
        <v>726</v>
      </c>
      <c r="D15" s="120" t="s">
        <v>810</v>
      </c>
      <c r="E15" s="130" t="s">
        <v>979</v>
      </c>
      <c r="F15" s="129" t="s">
        <v>876</v>
      </c>
      <c r="G15">
        <f t="shared" si="0"/>
        <v>1</v>
      </c>
      <c r="H15">
        <f t="shared" si="1"/>
        <v>0</v>
      </c>
      <c r="I15">
        <f t="shared" si="2"/>
        <v>0</v>
      </c>
      <c r="J15">
        <f t="shared" si="3"/>
        <v>0</v>
      </c>
      <c r="K15">
        <f t="shared" si="4"/>
        <v>0</v>
      </c>
      <c r="L15">
        <f t="shared" si="5"/>
        <v>0</v>
      </c>
      <c r="M15">
        <f t="shared" si="6"/>
        <v>0</v>
      </c>
      <c r="N15">
        <f t="shared" si="7"/>
        <v>0</v>
      </c>
      <c r="O15">
        <f t="shared" si="8"/>
        <v>0</v>
      </c>
      <c r="P15">
        <f t="shared" si="9"/>
        <v>0</v>
      </c>
      <c r="Q15">
        <f t="shared" si="10"/>
        <v>0</v>
      </c>
      <c r="R15">
        <f t="shared" si="11"/>
        <v>0</v>
      </c>
      <c r="S15" s="141" t="b">
        <v>1</v>
      </c>
      <c r="T15" s="141" t="b">
        <v>1</v>
      </c>
      <c r="U15" s="141" t="b">
        <v>0</v>
      </c>
      <c r="V15" s="131"/>
      <c r="W15" s="131"/>
      <c r="X15" s="131"/>
      <c r="Y15" s="131"/>
      <c r="Z15" s="131"/>
      <c r="AA15" s="131"/>
      <c r="AB15" s="131"/>
      <c r="AC15" s="131"/>
      <c r="AD15" s="131"/>
    </row>
    <row r="16" spans="1:30" ht="14.4" x14ac:dyDescent="0.55000000000000004">
      <c r="A16" s="169" t="s">
        <v>996</v>
      </c>
      <c r="B16" s="144" t="s">
        <v>995</v>
      </c>
      <c r="C16" s="78" t="s">
        <v>726</v>
      </c>
      <c r="D16" s="120" t="s">
        <v>787</v>
      </c>
      <c r="E16" s="130"/>
      <c r="F16" s="129" t="s">
        <v>997</v>
      </c>
      <c r="G16">
        <f t="shared" si="0"/>
        <v>0</v>
      </c>
      <c r="H16">
        <f t="shared" si="1"/>
        <v>0</v>
      </c>
      <c r="I16">
        <f t="shared" si="2"/>
        <v>0</v>
      </c>
      <c r="J16">
        <f t="shared" si="3"/>
        <v>1</v>
      </c>
      <c r="K16">
        <f t="shared" si="4"/>
        <v>0</v>
      </c>
      <c r="L16">
        <f t="shared" si="5"/>
        <v>0</v>
      </c>
      <c r="M16">
        <f t="shared" si="6"/>
        <v>0</v>
      </c>
      <c r="N16">
        <f t="shared" si="7"/>
        <v>0</v>
      </c>
      <c r="O16">
        <f t="shared" si="8"/>
        <v>0</v>
      </c>
      <c r="P16">
        <f t="shared" si="9"/>
        <v>0</v>
      </c>
      <c r="Q16">
        <f t="shared" si="10"/>
        <v>0</v>
      </c>
      <c r="R16">
        <f t="shared" si="11"/>
        <v>0</v>
      </c>
      <c r="S16" s="141" t="b">
        <v>0</v>
      </c>
      <c r="T16" s="141" t="b">
        <v>1</v>
      </c>
      <c r="U16" s="141" t="b">
        <v>0</v>
      </c>
      <c r="V16" s="131"/>
      <c r="W16" s="131"/>
      <c r="X16" s="131"/>
      <c r="Y16" s="131"/>
      <c r="Z16" s="131"/>
      <c r="AA16" s="131"/>
      <c r="AB16" s="131"/>
      <c r="AC16" s="131"/>
      <c r="AD16" s="131"/>
    </row>
    <row r="17" spans="1:30" ht="14.4" x14ac:dyDescent="0.55000000000000004">
      <c r="A17" s="88" t="s">
        <v>873</v>
      </c>
      <c r="B17" s="144" t="s">
        <v>871</v>
      </c>
      <c r="C17" s="78" t="s">
        <v>66</v>
      </c>
      <c r="D17" s="120" t="s">
        <v>887</v>
      </c>
      <c r="E17" s="130" t="s">
        <v>998</v>
      </c>
      <c r="F17" s="129" t="s">
        <v>849</v>
      </c>
      <c r="G17">
        <f t="shared" si="0"/>
        <v>0</v>
      </c>
      <c r="H17">
        <f t="shared" si="1"/>
        <v>0</v>
      </c>
      <c r="I17">
        <f t="shared" si="2"/>
        <v>1</v>
      </c>
      <c r="J17">
        <f t="shared" si="3"/>
        <v>0</v>
      </c>
      <c r="K17">
        <f t="shared" si="4"/>
        <v>0</v>
      </c>
      <c r="L17">
        <f t="shared" si="5"/>
        <v>0</v>
      </c>
      <c r="M17">
        <f t="shared" si="6"/>
        <v>0</v>
      </c>
      <c r="N17">
        <f t="shared" si="7"/>
        <v>0</v>
      </c>
      <c r="O17">
        <f t="shared" si="8"/>
        <v>0</v>
      </c>
      <c r="P17">
        <f t="shared" si="9"/>
        <v>0</v>
      </c>
      <c r="Q17">
        <f t="shared" si="10"/>
        <v>0</v>
      </c>
      <c r="R17">
        <f t="shared" si="11"/>
        <v>0</v>
      </c>
      <c r="S17" s="141" t="b">
        <v>1</v>
      </c>
      <c r="T17" s="141" t="b">
        <v>0</v>
      </c>
      <c r="U17" s="141" t="b">
        <v>0</v>
      </c>
      <c r="V17" s="131"/>
      <c r="W17" s="131"/>
      <c r="X17" s="131"/>
      <c r="Y17" s="131"/>
      <c r="Z17" s="131"/>
      <c r="AA17" s="131"/>
      <c r="AB17" s="131"/>
      <c r="AC17" s="131"/>
      <c r="AD17" s="131"/>
    </row>
    <row r="18" spans="1:30" ht="14.4" x14ac:dyDescent="0.55000000000000004">
      <c r="A18" s="86" t="s">
        <v>851</v>
      </c>
      <c r="B18" s="144" t="s">
        <v>847</v>
      </c>
      <c r="C18" s="78" t="s">
        <v>852</v>
      </c>
      <c r="D18" s="122" t="s">
        <v>810</v>
      </c>
      <c r="E18" s="130"/>
      <c r="F18" s="129" t="s">
        <v>853</v>
      </c>
      <c r="G18">
        <f t="shared" si="0"/>
        <v>1</v>
      </c>
      <c r="H18">
        <f t="shared" si="1"/>
        <v>0</v>
      </c>
      <c r="I18">
        <f t="shared" si="2"/>
        <v>0</v>
      </c>
      <c r="J18">
        <f t="shared" si="3"/>
        <v>0</v>
      </c>
      <c r="K18">
        <f t="shared" si="4"/>
        <v>0</v>
      </c>
      <c r="L18">
        <f t="shared" si="5"/>
        <v>0</v>
      </c>
      <c r="M18">
        <f t="shared" si="6"/>
        <v>0</v>
      </c>
      <c r="N18">
        <f t="shared" si="7"/>
        <v>0</v>
      </c>
      <c r="O18">
        <f t="shared" si="8"/>
        <v>0</v>
      </c>
      <c r="P18">
        <f t="shared" si="9"/>
        <v>0</v>
      </c>
      <c r="Q18">
        <f t="shared" si="10"/>
        <v>0</v>
      </c>
      <c r="R18">
        <f t="shared" si="11"/>
        <v>0</v>
      </c>
      <c r="S18" s="141" t="b">
        <v>0</v>
      </c>
      <c r="T18" s="141" t="b">
        <v>0</v>
      </c>
      <c r="U18" s="141" t="b">
        <v>0</v>
      </c>
      <c r="V18" s="131"/>
      <c r="W18" s="131"/>
      <c r="X18" s="131"/>
      <c r="Y18" s="131"/>
      <c r="Z18" s="131"/>
      <c r="AA18" s="131"/>
      <c r="AB18" s="131"/>
      <c r="AC18" s="131"/>
      <c r="AD18" s="131"/>
    </row>
    <row r="19" spans="1:30" ht="14.4" x14ac:dyDescent="0.55000000000000004">
      <c r="A19" s="81" t="s">
        <v>858</v>
      </c>
      <c r="B19" s="144" t="s">
        <v>847</v>
      </c>
      <c r="C19" s="78" t="s">
        <v>715</v>
      </c>
      <c r="D19" s="122" t="s">
        <v>810</v>
      </c>
      <c r="E19" s="130"/>
      <c r="F19" s="129" t="s">
        <v>992</v>
      </c>
      <c r="G19">
        <f t="shared" si="0"/>
        <v>1</v>
      </c>
      <c r="H19">
        <f t="shared" si="1"/>
        <v>0</v>
      </c>
      <c r="I19">
        <f t="shared" si="2"/>
        <v>0</v>
      </c>
      <c r="J19">
        <f t="shared" si="3"/>
        <v>0</v>
      </c>
      <c r="K19">
        <f t="shared" si="4"/>
        <v>0</v>
      </c>
      <c r="L19">
        <f t="shared" si="5"/>
        <v>0</v>
      </c>
      <c r="M19">
        <f t="shared" si="6"/>
        <v>0</v>
      </c>
      <c r="N19">
        <f t="shared" si="7"/>
        <v>0</v>
      </c>
      <c r="O19">
        <f t="shared" si="8"/>
        <v>0</v>
      </c>
      <c r="P19">
        <f t="shared" si="9"/>
        <v>0</v>
      </c>
      <c r="Q19">
        <f t="shared" si="10"/>
        <v>0</v>
      </c>
      <c r="R19">
        <f t="shared" si="11"/>
        <v>0</v>
      </c>
      <c r="S19" s="141" t="b">
        <v>1</v>
      </c>
      <c r="T19" s="141" t="b">
        <v>1</v>
      </c>
      <c r="U19" s="141" t="b">
        <v>1</v>
      </c>
      <c r="V19" s="131"/>
      <c r="W19" s="131"/>
      <c r="X19" s="131"/>
      <c r="Y19" s="131"/>
      <c r="Z19" s="131"/>
      <c r="AA19" s="131"/>
      <c r="AB19" s="131"/>
      <c r="AC19" s="131"/>
      <c r="AD19" s="131"/>
    </row>
    <row r="20" spans="1:30" ht="14.4" x14ac:dyDescent="0.55000000000000004">
      <c r="A20" s="81" t="s">
        <v>999</v>
      </c>
      <c r="B20" s="144" t="s">
        <v>847</v>
      </c>
      <c r="C20" s="78"/>
      <c r="D20" s="122" t="s">
        <v>810</v>
      </c>
      <c r="E20" s="130"/>
      <c r="F20" s="129" t="s">
        <v>992</v>
      </c>
      <c r="G20">
        <f t="shared" si="0"/>
        <v>1</v>
      </c>
      <c r="H20">
        <f t="shared" si="1"/>
        <v>0</v>
      </c>
      <c r="I20">
        <f t="shared" si="2"/>
        <v>0</v>
      </c>
      <c r="J20">
        <f t="shared" si="3"/>
        <v>0</v>
      </c>
      <c r="K20">
        <f t="shared" si="4"/>
        <v>0</v>
      </c>
      <c r="L20">
        <f t="shared" si="5"/>
        <v>0</v>
      </c>
      <c r="M20">
        <f t="shared" si="6"/>
        <v>0</v>
      </c>
      <c r="N20">
        <f t="shared" si="7"/>
        <v>0</v>
      </c>
      <c r="O20">
        <f t="shared" si="8"/>
        <v>0</v>
      </c>
      <c r="P20">
        <f t="shared" si="9"/>
        <v>0</v>
      </c>
      <c r="Q20">
        <f t="shared" si="10"/>
        <v>0</v>
      </c>
      <c r="R20">
        <f t="shared" si="11"/>
        <v>0</v>
      </c>
      <c r="S20" s="141" t="b">
        <v>1</v>
      </c>
      <c r="T20" s="141" t="b">
        <v>1</v>
      </c>
      <c r="U20" s="141" t="b">
        <v>0</v>
      </c>
      <c r="V20" s="131"/>
      <c r="W20" s="131"/>
      <c r="X20" s="131"/>
      <c r="Y20" s="131"/>
      <c r="Z20" s="131"/>
      <c r="AA20" s="131"/>
      <c r="AB20" s="131"/>
      <c r="AC20" s="131"/>
      <c r="AD20" s="131"/>
    </row>
    <row r="21" spans="1:30" ht="14.4" x14ac:dyDescent="0.55000000000000004">
      <c r="A21" s="81" t="s">
        <v>863</v>
      </c>
      <c r="B21" s="144" t="s">
        <v>847</v>
      </c>
      <c r="C21" s="78" t="s">
        <v>864</v>
      </c>
      <c r="D21" s="122" t="s">
        <v>810</v>
      </c>
      <c r="E21" s="130"/>
      <c r="F21" s="129" t="s">
        <v>865</v>
      </c>
      <c r="G21">
        <f t="shared" si="0"/>
        <v>1</v>
      </c>
      <c r="H21">
        <f t="shared" si="1"/>
        <v>0</v>
      </c>
      <c r="I21">
        <f t="shared" si="2"/>
        <v>0</v>
      </c>
      <c r="J21">
        <f t="shared" si="3"/>
        <v>0</v>
      </c>
      <c r="K21">
        <f t="shared" si="4"/>
        <v>0</v>
      </c>
      <c r="L21">
        <f t="shared" si="5"/>
        <v>0</v>
      </c>
      <c r="M21">
        <f t="shared" si="6"/>
        <v>0</v>
      </c>
      <c r="N21">
        <f t="shared" si="7"/>
        <v>0</v>
      </c>
      <c r="O21">
        <f t="shared" si="8"/>
        <v>0</v>
      </c>
      <c r="P21">
        <f t="shared" si="9"/>
        <v>0</v>
      </c>
      <c r="Q21">
        <f t="shared" si="10"/>
        <v>0</v>
      </c>
      <c r="R21">
        <f t="shared" si="11"/>
        <v>0</v>
      </c>
      <c r="S21" s="141" t="b">
        <v>1</v>
      </c>
      <c r="T21" s="141" t="b">
        <v>0</v>
      </c>
      <c r="U21" s="141" t="b">
        <v>0</v>
      </c>
      <c r="V21" s="131"/>
      <c r="W21" s="131"/>
      <c r="X21" s="131"/>
      <c r="Y21" s="131"/>
      <c r="Z21" s="131"/>
      <c r="AA21" s="131"/>
      <c r="AB21" s="131"/>
      <c r="AC21" s="131"/>
      <c r="AD21" s="131"/>
    </row>
    <row r="22" spans="1:30" ht="14.4" x14ac:dyDescent="0.55000000000000004">
      <c r="A22" s="81" t="s">
        <v>848</v>
      </c>
      <c r="B22" s="144" t="s">
        <v>847</v>
      </c>
      <c r="C22" s="76" t="s">
        <v>66</v>
      </c>
      <c r="D22" s="122" t="s">
        <v>887</v>
      </c>
      <c r="E22" s="130"/>
      <c r="F22" s="129" t="s">
        <v>849</v>
      </c>
      <c r="G22">
        <f t="shared" si="0"/>
        <v>0</v>
      </c>
      <c r="H22">
        <f t="shared" si="1"/>
        <v>0</v>
      </c>
      <c r="I22">
        <f t="shared" si="2"/>
        <v>1</v>
      </c>
      <c r="J22">
        <f t="shared" si="3"/>
        <v>0</v>
      </c>
      <c r="K22">
        <f t="shared" si="4"/>
        <v>0</v>
      </c>
      <c r="L22">
        <f t="shared" si="5"/>
        <v>0</v>
      </c>
      <c r="M22">
        <f t="shared" si="6"/>
        <v>0</v>
      </c>
      <c r="N22">
        <f t="shared" si="7"/>
        <v>0</v>
      </c>
      <c r="O22">
        <f t="shared" si="8"/>
        <v>0</v>
      </c>
      <c r="P22">
        <f t="shared" si="9"/>
        <v>0</v>
      </c>
      <c r="Q22">
        <f t="shared" si="10"/>
        <v>0</v>
      </c>
      <c r="R22">
        <f t="shared" si="11"/>
        <v>0</v>
      </c>
      <c r="S22" s="141" t="b">
        <v>0</v>
      </c>
      <c r="T22" s="141" t="b">
        <v>1</v>
      </c>
      <c r="U22" s="141" t="b">
        <v>0</v>
      </c>
      <c r="V22" s="131"/>
      <c r="W22" s="131"/>
      <c r="X22" s="131"/>
      <c r="Y22" s="131"/>
      <c r="Z22" s="131"/>
      <c r="AA22" s="131"/>
      <c r="AB22" s="131"/>
      <c r="AC22" s="131"/>
      <c r="AD22" s="131"/>
    </row>
    <row r="23" spans="1:30" ht="14.4" x14ac:dyDescent="0.55000000000000004">
      <c r="A23" s="77" t="s">
        <v>856</v>
      </c>
      <c r="B23" s="171" t="s">
        <v>847</v>
      </c>
      <c r="C23" s="76" t="s">
        <v>857</v>
      </c>
      <c r="D23" s="122" t="s">
        <v>787</v>
      </c>
      <c r="E23" s="130"/>
      <c r="F23" s="129" t="s">
        <v>853</v>
      </c>
      <c r="G23">
        <f t="shared" si="0"/>
        <v>0</v>
      </c>
      <c r="H23">
        <f t="shared" si="1"/>
        <v>0</v>
      </c>
      <c r="I23">
        <f t="shared" si="2"/>
        <v>0</v>
      </c>
      <c r="J23">
        <f t="shared" si="3"/>
        <v>1</v>
      </c>
      <c r="K23">
        <f t="shared" si="4"/>
        <v>0</v>
      </c>
      <c r="L23">
        <f t="shared" si="5"/>
        <v>0</v>
      </c>
      <c r="M23">
        <f t="shared" si="6"/>
        <v>0</v>
      </c>
      <c r="N23">
        <f t="shared" si="7"/>
        <v>0</v>
      </c>
      <c r="O23">
        <f t="shared" si="8"/>
        <v>0</v>
      </c>
      <c r="P23">
        <f t="shared" si="9"/>
        <v>0</v>
      </c>
      <c r="Q23">
        <f t="shared" si="10"/>
        <v>0</v>
      </c>
      <c r="R23">
        <f t="shared" si="11"/>
        <v>0</v>
      </c>
      <c r="S23" s="141" t="b">
        <v>0</v>
      </c>
      <c r="T23" s="141" t="b">
        <v>0</v>
      </c>
      <c r="U23" s="141" t="b">
        <v>0</v>
      </c>
      <c r="V23" s="131"/>
      <c r="W23" s="131"/>
      <c r="X23" s="131"/>
      <c r="Y23" s="131"/>
      <c r="Z23" s="131"/>
      <c r="AA23" s="131"/>
      <c r="AB23" s="131"/>
      <c r="AC23" s="131"/>
      <c r="AD23" s="131"/>
    </row>
    <row r="24" spans="1:30" ht="14.4" x14ac:dyDescent="0.55000000000000004">
      <c r="A24" s="77" t="s">
        <v>866</v>
      </c>
      <c r="B24" s="145" t="s">
        <v>847</v>
      </c>
      <c r="C24" s="76" t="s">
        <v>726</v>
      </c>
      <c r="D24" s="122" t="s">
        <v>787</v>
      </c>
      <c r="E24" s="130"/>
      <c r="F24" s="129" t="s">
        <v>1000</v>
      </c>
      <c r="G24">
        <f t="shared" si="0"/>
        <v>0</v>
      </c>
      <c r="H24">
        <f t="shared" si="1"/>
        <v>0</v>
      </c>
      <c r="I24">
        <f t="shared" si="2"/>
        <v>0</v>
      </c>
      <c r="J24">
        <f t="shared" si="3"/>
        <v>1</v>
      </c>
      <c r="K24">
        <f t="shared" si="4"/>
        <v>0</v>
      </c>
      <c r="L24">
        <f t="shared" si="5"/>
        <v>0</v>
      </c>
      <c r="M24">
        <f t="shared" si="6"/>
        <v>0</v>
      </c>
      <c r="N24">
        <f t="shared" si="7"/>
        <v>0</v>
      </c>
      <c r="O24">
        <f t="shared" si="8"/>
        <v>0</v>
      </c>
      <c r="P24">
        <f t="shared" si="9"/>
        <v>0</v>
      </c>
      <c r="Q24">
        <f t="shared" si="10"/>
        <v>0</v>
      </c>
      <c r="R24">
        <f t="shared" si="11"/>
        <v>0</v>
      </c>
      <c r="S24" s="141" t="b">
        <v>1</v>
      </c>
      <c r="T24" s="141" t="b">
        <v>1</v>
      </c>
      <c r="U24" s="141" t="b">
        <v>0</v>
      </c>
      <c r="V24" s="131"/>
      <c r="W24" s="131"/>
      <c r="X24" s="131"/>
      <c r="Y24" s="131"/>
      <c r="Z24" s="131"/>
      <c r="AA24" s="131"/>
      <c r="AB24" s="131"/>
      <c r="AC24" s="131"/>
      <c r="AD24" s="131"/>
    </row>
    <row r="25" spans="1:30" ht="14.4" x14ac:dyDescent="0.55000000000000004">
      <c r="A25" s="77" t="s">
        <v>867</v>
      </c>
      <c r="B25" s="145" t="s">
        <v>847</v>
      </c>
      <c r="C25" s="76" t="s">
        <v>868</v>
      </c>
      <c r="D25" s="122" t="s">
        <v>787</v>
      </c>
      <c r="E25" s="130"/>
      <c r="F25" s="129" t="s">
        <v>865</v>
      </c>
      <c r="G25">
        <f t="shared" si="0"/>
        <v>0</v>
      </c>
      <c r="H25">
        <f t="shared" si="1"/>
        <v>0</v>
      </c>
      <c r="I25">
        <f t="shared" si="2"/>
        <v>0</v>
      </c>
      <c r="J25">
        <f t="shared" si="3"/>
        <v>1</v>
      </c>
      <c r="K25">
        <f t="shared" si="4"/>
        <v>0</v>
      </c>
      <c r="L25">
        <f t="shared" si="5"/>
        <v>0</v>
      </c>
      <c r="M25">
        <f t="shared" si="6"/>
        <v>0</v>
      </c>
      <c r="N25">
        <f t="shared" si="7"/>
        <v>0</v>
      </c>
      <c r="O25">
        <f t="shared" si="8"/>
        <v>0</v>
      </c>
      <c r="P25">
        <f t="shared" si="9"/>
        <v>0</v>
      </c>
      <c r="Q25">
        <f t="shared" si="10"/>
        <v>0</v>
      </c>
      <c r="R25">
        <f t="shared" si="11"/>
        <v>0</v>
      </c>
      <c r="S25" s="141" t="b">
        <v>1</v>
      </c>
      <c r="T25" s="141" t="b">
        <v>0</v>
      </c>
      <c r="U25" s="141" t="b">
        <v>1</v>
      </c>
      <c r="V25" s="131"/>
      <c r="W25" s="131"/>
      <c r="X25" s="131"/>
      <c r="Y25" s="131"/>
      <c r="Z25" s="131"/>
      <c r="AA25" s="131"/>
      <c r="AB25" s="131"/>
      <c r="AC25" s="131"/>
      <c r="AD25" s="131"/>
    </row>
    <row r="26" spans="1:30" ht="14.4" x14ac:dyDescent="0.55000000000000004">
      <c r="A26" s="77" t="s">
        <v>1001</v>
      </c>
      <c r="B26" s="145" t="s">
        <v>847</v>
      </c>
      <c r="C26" s="76"/>
      <c r="D26" s="122" t="s">
        <v>787</v>
      </c>
      <c r="E26" s="130"/>
      <c r="F26" s="129" t="s">
        <v>1002</v>
      </c>
      <c r="S26" s="141" t="b">
        <v>1</v>
      </c>
      <c r="T26" s="141" t="b">
        <v>1</v>
      </c>
      <c r="U26" s="141" t="b">
        <v>1</v>
      </c>
      <c r="V26" s="131"/>
      <c r="W26" s="131"/>
      <c r="X26" s="131"/>
      <c r="Y26" s="131"/>
      <c r="Z26" s="131"/>
      <c r="AA26" s="131"/>
      <c r="AB26" s="131"/>
      <c r="AC26" s="131"/>
      <c r="AD26" s="131"/>
    </row>
    <row r="27" spans="1:30" ht="14.4" x14ac:dyDescent="0.55000000000000004">
      <c r="A27" s="77" t="s">
        <v>860</v>
      </c>
      <c r="B27" s="145" t="s">
        <v>1003</v>
      </c>
      <c r="C27" s="78" t="s">
        <v>861</v>
      </c>
      <c r="D27" s="122" t="s">
        <v>810</v>
      </c>
      <c r="E27" s="130"/>
      <c r="F27" s="129" t="s">
        <v>862</v>
      </c>
      <c r="G27">
        <f t="shared" ref="G27:G38" si="12">IF(D27="Jason",1,0)</f>
        <v>1</v>
      </c>
      <c r="H27">
        <f t="shared" ref="H27:H38" si="13">IF($D27="Jordan",1,0)</f>
        <v>0</v>
      </c>
      <c r="I27">
        <f t="shared" ref="I27:I38" si="14">IF($D27="John",1,0)</f>
        <v>0</v>
      </c>
      <c r="J27">
        <f t="shared" ref="J27:J38" si="15">IF($D27="Yigit",1,0)</f>
        <v>0</v>
      </c>
      <c r="K27">
        <f t="shared" ref="K27:K38" si="16">IF($D27="Cagla",1,0)</f>
        <v>0</v>
      </c>
      <c r="L27">
        <f t="shared" ref="L27:L38" si="17">IF($D27="Berkay",1,0)</f>
        <v>0</v>
      </c>
      <c r="M27">
        <f t="shared" ref="M27:M38" si="18">IF($D27="Gozde",1,0)</f>
        <v>0</v>
      </c>
      <c r="N27">
        <f t="shared" ref="N27:N38" si="19">IF($D27="Mertcan",1,0)</f>
        <v>0</v>
      </c>
      <c r="O27">
        <f t="shared" ref="O27:O38" si="20">IF($D27="Amy",1,0)</f>
        <v>0</v>
      </c>
      <c r="P27">
        <f t="shared" ref="P27:P38" si="21">IF($D27="Jason / Derya",1,0)</f>
        <v>0</v>
      </c>
      <c r="Q27">
        <f t="shared" ref="Q27:Q38" si="22">IF($D27="Jason / Basak",1,0)</f>
        <v>0</v>
      </c>
      <c r="R27">
        <f t="shared" ref="R27:R38" si="23">IF($D27="Jason / Cagla",1,0)</f>
        <v>0</v>
      </c>
      <c r="S27" s="141" t="b">
        <v>1</v>
      </c>
      <c r="T27" s="141" t="b">
        <v>1</v>
      </c>
      <c r="U27" s="141" t="b">
        <v>1</v>
      </c>
      <c r="V27" s="131"/>
      <c r="W27" s="131"/>
      <c r="X27" s="131"/>
      <c r="Y27" s="131"/>
      <c r="Z27" s="131"/>
      <c r="AA27" s="131"/>
      <c r="AB27" s="131"/>
      <c r="AC27" s="131"/>
      <c r="AD27" s="131"/>
    </row>
    <row r="28" spans="1:30" ht="14.4" x14ac:dyDescent="0.55000000000000004">
      <c r="A28" s="77" t="s">
        <v>1004</v>
      </c>
      <c r="B28" s="145" t="s">
        <v>1003</v>
      </c>
      <c r="C28" s="78" t="s">
        <v>864</v>
      </c>
      <c r="D28" s="122" t="s">
        <v>810</v>
      </c>
      <c r="E28" s="130"/>
      <c r="F28" s="129" t="s">
        <v>1005</v>
      </c>
      <c r="G28">
        <f t="shared" si="12"/>
        <v>1</v>
      </c>
      <c r="H28">
        <f t="shared" si="13"/>
        <v>0</v>
      </c>
      <c r="I28">
        <f t="shared" si="14"/>
        <v>0</v>
      </c>
      <c r="J28">
        <f t="shared" si="15"/>
        <v>0</v>
      </c>
      <c r="K28">
        <f t="shared" si="16"/>
        <v>0</v>
      </c>
      <c r="L28">
        <f t="shared" si="17"/>
        <v>0</v>
      </c>
      <c r="M28">
        <f t="shared" si="18"/>
        <v>0</v>
      </c>
      <c r="N28">
        <f t="shared" si="19"/>
        <v>0</v>
      </c>
      <c r="O28">
        <f t="shared" si="20"/>
        <v>0</v>
      </c>
      <c r="P28">
        <f t="shared" si="21"/>
        <v>0</v>
      </c>
      <c r="Q28">
        <f t="shared" si="22"/>
        <v>0</v>
      </c>
      <c r="R28">
        <f t="shared" si="23"/>
        <v>0</v>
      </c>
      <c r="S28" s="141" t="b">
        <v>1</v>
      </c>
      <c r="T28" s="141" t="b">
        <v>1</v>
      </c>
      <c r="U28" s="141" t="b">
        <v>0</v>
      </c>
      <c r="V28" s="131"/>
      <c r="W28" s="131"/>
      <c r="X28" s="131"/>
      <c r="Y28" s="131"/>
      <c r="Z28" s="131"/>
      <c r="AA28" s="131"/>
      <c r="AB28" s="131"/>
      <c r="AC28" s="131"/>
      <c r="AD28" s="131"/>
    </row>
    <row r="29" spans="1:30" ht="14.4" x14ac:dyDescent="0.55000000000000004">
      <c r="A29" s="77" t="s">
        <v>1006</v>
      </c>
      <c r="B29" s="145" t="s">
        <v>1003</v>
      </c>
      <c r="C29" s="78" t="s">
        <v>1007</v>
      </c>
      <c r="D29" s="122" t="s">
        <v>787</v>
      </c>
      <c r="E29" s="130"/>
      <c r="F29" s="129" t="s">
        <v>862</v>
      </c>
      <c r="G29">
        <f t="shared" si="12"/>
        <v>0</v>
      </c>
      <c r="H29">
        <f t="shared" si="13"/>
        <v>0</v>
      </c>
      <c r="I29">
        <f t="shared" si="14"/>
        <v>0</v>
      </c>
      <c r="J29">
        <f t="shared" si="15"/>
        <v>1</v>
      </c>
      <c r="K29">
        <f t="shared" si="16"/>
        <v>0</v>
      </c>
      <c r="L29">
        <f t="shared" si="17"/>
        <v>0</v>
      </c>
      <c r="M29">
        <f t="shared" si="18"/>
        <v>0</v>
      </c>
      <c r="N29">
        <f t="shared" si="19"/>
        <v>0</v>
      </c>
      <c r="O29">
        <f t="shared" si="20"/>
        <v>0</v>
      </c>
      <c r="P29">
        <f t="shared" si="21"/>
        <v>0</v>
      </c>
      <c r="Q29">
        <f t="shared" si="22"/>
        <v>0</v>
      </c>
      <c r="R29">
        <f t="shared" si="23"/>
        <v>0</v>
      </c>
      <c r="S29" s="141" t="b">
        <v>1</v>
      </c>
      <c r="T29" s="141" t="b">
        <v>1</v>
      </c>
      <c r="U29" s="141" t="b">
        <v>1</v>
      </c>
      <c r="V29" s="131"/>
      <c r="W29" s="131"/>
      <c r="X29" s="131"/>
      <c r="Y29" s="131"/>
      <c r="Z29" s="131"/>
      <c r="AA29" s="131"/>
      <c r="AB29" s="131"/>
      <c r="AC29" s="131"/>
      <c r="AD29" s="131"/>
    </row>
    <row r="30" spans="1:30" ht="14.4" x14ac:dyDescent="0.55000000000000004">
      <c r="A30" s="77" t="s">
        <v>1008</v>
      </c>
      <c r="B30" s="145" t="s">
        <v>1003</v>
      </c>
      <c r="C30" s="78" t="s">
        <v>1009</v>
      </c>
      <c r="D30" s="122" t="s">
        <v>787</v>
      </c>
      <c r="E30" s="130"/>
      <c r="F30" s="129" t="s">
        <v>1005</v>
      </c>
      <c r="G30">
        <f t="shared" si="12"/>
        <v>0</v>
      </c>
      <c r="H30">
        <f t="shared" si="13"/>
        <v>0</v>
      </c>
      <c r="I30">
        <f t="shared" si="14"/>
        <v>0</v>
      </c>
      <c r="J30">
        <f t="shared" si="15"/>
        <v>1</v>
      </c>
      <c r="K30">
        <f t="shared" si="16"/>
        <v>0</v>
      </c>
      <c r="L30">
        <f t="shared" si="17"/>
        <v>0</v>
      </c>
      <c r="M30">
        <f t="shared" si="18"/>
        <v>0</v>
      </c>
      <c r="N30">
        <f t="shared" si="19"/>
        <v>0</v>
      </c>
      <c r="O30">
        <f t="shared" si="20"/>
        <v>0</v>
      </c>
      <c r="P30">
        <f t="shared" si="21"/>
        <v>0</v>
      </c>
      <c r="Q30">
        <f t="shared" si="22"/>
        <v>0</v>
      </c>
      <c r="R30">
        <f t="shared" si="23"/>
        <v>0</v>
      </c>
      <c r="S30" s="141" t="b">
        <v>1</v>
      </c>
      <c r="T30" s="141" t="b">
        <v>1</v>
      </c>
      <c r="U30" s="141" t="b">
        <v>0</v>
      </c>
      <c r="V30" s="131"/>
      <c r="W30" s="131"/>
      <c r="X30" s="131"/>
      <c r="Y30" s="131"/>
      <c r="Z30" s="131"/>
      <c r="AA30" s="131"/>
      <c r="AB30" s="131"/>
      <c r="AC30" s="131"/>
      <c r="AD30" s="131"/>
    </row>
    <row r="31" spans="1:30" ht="14.4" x14ac:dyDescent="0.55000000000000004">
      <c r="A31" s="77" t="s">
        <v>885</v>
      </c>
      <c r="B31" s="145" t="s">
        <v>1010</v>
      </c>
      <c r="C31" s="78" t="s">
        <v>886</v>
      </c>
      <c r="D31" s="122" t="s">
        <v>810</v>
      </c>
      <c r="E31" s="130"/>
      <c r="F31" s="129"/>
      <c r="G31">
        <f t="shared" si="12"/>
        <v>1</v>
      </c>
      <c r="H31">
        <f t="shared" si="13"/>
        <v>0</v>
      </c>
      <c r="I31">
        <f t="shared" si="14"/>
        <v>0</v>
      </c>
      <c r="J31">
        <f t="shared" si="15"/>
        <v>0</v>
      </c>
      <c r="K31">
        <f t="shared" si="16"/>
        <v>0</v>
      </c>
      <c r="L31">
        <f t="shared" si="17"/>
        <v>0</v>
      </c>
      <c r="M31">
        <f t="shared" si="18"/>
        <v>0</v>
      </c>
      <c r="N31">
        <f t="shared" si="19"/>
        <v>0</v>
      </c>
      <c r="O31">
        <f t="shared" si="20"/>
        <v>0</v>
      </c>
      <c r="P31">
        <f t="shared" si="21"/>
        <v>0</v>
      </c>
      <c r="Q31">
        <f t="shared" si="22"/>
        <v>0</v>
      </c>
      <c r="R31">
        <f t="shared" si="23"/>
        <v>0</v>
      </c>
      <c r="S31" s="141" t="b">
        <v>1</v>
      </c>
      <c r="T31" s="141" t="b">
        <v>0</v>
      </c>
      <c r="U31" s="141" t="b">
        <v>0</v>
      </c>
      <c r="V31" s="131"/>
      <c r="W31" s="131"/>
      <c r="X31" s="131"/>
      <c r="Y31" s="131"/>
      <c r="Z31" s="131"/>
      <c r="AA31" s="131"/>
      <c r="AB31" s="131"/>
      <c r="AC31" s="131"/>
      <c r="AD31" s="131"/>
    </row>
    <row r="32" spans="1:30" ht="14.4" x14ac:dyDescent="0.55000000000000004">
      <c r="A32" s="77" t="s">
        <v>889</v>
      </c>
      <c r="B32" s="145" t="s">
        <v>1010</v>
      </c>
      <c r="C32" s="78" t="s">
        <v>890</v>
      </c>
      <c r="D32" s="120" t="s">
        <v>810</v>
      </c>
      <c r="E32" s="130"/>
      <c r="F32" s="129"/>
      <c r="G32">
        <f t="shared" si="12"/>
        <v>1</v>
      </c>
      <c r="H32">
        <f t="shared" si="13"/>
        <v>0</v>
      </c>
      <c r="I32">
        <f t="shared" si="14"/>
        <v>0</v>
      </c>
      <c r="J32">
        <f t="shared" si="15"/>
        <v>0</v>
      </c>
      <c r="K32">
        <f t="shared" si="16"/>
        <v>0</v>
      </c>
      <c r="L32">
        <f t="shared" si="17"/>
        <v>0</v>
      </c>
      <c r="M32">
        <f t="shared" si="18"/>
        <v>0</v>
      </c>
      <c r="N32">
        <f t="shared" si="19"/>
        <v>0</v>
      </c>
      <c r="O32">
        <f t="shared" si="20"/>
        <v>0</v>
      </c>
      <c r="P32">
        <f t="shared" si="21"/>
        <v>0</v>
      </c>
      <c r="Q32">
        <f t="shared" si="22"/>
        <v>0</v>
      </c>
      <c r="R32">
        <f t="shared" si="23"/>
        <v>0</v>
      </c>
      <c r="S32" s="141" t="b">
        <v>1</v>
      </c>
      <c r="T32" s="141" t="b">
        <v>0</v>
      </c>
      <c r="U32" s="141" t="b">
        <v>0</v>
      </c>
      <c r="V32" s="131"/>
      <c r="W32" s="131"/>
      <c r="X32" s="131"/>
      <c r="Y32" s="131"/>
      <c r="Z32" s="131"/>
      <c r="AA32" s="131"/>
      <c r="AB32" s="131"/>
      <c r="AC32" s="131"/>
      <c r="AD32" s="131"/>
    </row>
    <row r="33" spans="1:30" ht="14.4" x14ac:dyDescent="0.55000000000000004">
      <c r="A33" s="77" t="s">
        <v>1011</v>
      </c>
      <c r="B33" s="145" t="s">
        <v>1010</v>
      </c>
      <c r="C33" s="78" t="s">
        <v>66</v>
      </c>
      <c r="D33" s="120" t="s">
        <v>887</v>
      </c>
      <c r="E33" s="130"/>
      <c r="F33" s="129"/>
      <c r="G33">
        <f t="shared" si="12"/>
        <v>0</v>
      </c>
      <c r="H33">
        <f t="shared" si="13"/>
        <v>0</v>
      </c>
      <c r="I33">
        <f t="shared" si="14"/>
        <v>1</v>
      </c>
      <c r="J33">
        <f t="shared" si="15"/>
        <v>0</v>
      </c>
      <c r="K33">
        <f t="shared" si="16"/>
        <v>0</v>
      </c>
      <c r="L33">
        <f t="shared" si="17"/>
        <v>0</v>
      </c>
      <c r="M33">
        <f t="shared" si="18"/>
        <v>0</v>
      </c>
      <c r="N33">
        <f t="shared" si="19"/>
        <v>0</v>
      </c>
      <c r="O33">
        <f t="shared" si="20"/>
        <v>0</v>
      </c>
      <c r="P33">
        <f t="shared" si="21"/>
        <v>0</v>
      </c>
      <c r="Q33">
        <f t="shared" si="22"/>
        <v>0</v>
      </c>
      <c r="R33">
        <f t="shared" si="23"/>
        <v>0</v>
      </c>
      <c r="S33" s="141" t="b">
        <v>0</v>
      </c>
      <c r="T33" s="141" t="b">
        <v>0</v>
      </c>
      <c r="U33" s="141" t="b">
        <v>0</v>
      </c>
      <c r="V33" s="131"/>
      <c r="W33" s="131"/>
      <c r="X33" s="131"/>
      <c r="Y33" s="131"/>
      <c r="Z33" s="131"/>
      <c r="AA33" s="131"/>
      <c r="AB33" s="131"/>
      <c r="AC33" s="131"/>
      <c r="AD33" s="131"/>
    </row>
    <row r="34" spans="1:30" ht="14.4" x14ac:dyDescent="0.55000000000000004">
      <c r="A34" s="87" t="s">
        <v>1012</v>
      </c>
      <c r="B34" s="145" t="s">
        <v>1010</v>
      </c>
      <c r="C34" s="83" t="s">
        <v>864</v>
      </c>
      <c r="D34" s="120" t="s">
        <v>887</v>
      </c>
      <c r="E34" s="130"/>
      <c r="F34" s="129" t="s">
        <v>878</v>
      </c>
      <c r="G34">
        <f t="shared" si="12"/>
        <v>0</v>
      </c>
      <c r="H34">
        <f t="shared" si="13"/>
        <v>0</v>
      </c>
      <c r="I34">
        <f t="shared" si="14"/>
        <v>1</v>
      </c>
      <c r="J34">
        <f t="shared" si="15"/>
        <v>0</v>
      </c>
      <c r="K34">
        <f t="shared" si="16"/>
        <v>0</v>
      </c>
      <c r="L34">
        <f t="shared" si="17"/>
        <v>0</v>
      </c>
      <c r="M34">
        <f t="shared" si="18"/>
        <v>0</v>
      </c>
      <c r="N34">
        <f t="shared" si="19"/>
        <v>0</v>
      </c>
      <c r="O34">
        <f t="shared" si="20"/>
        <v>0</v>
      </c>
      <c r="P34">
        <f t="shared" si="21"/>
        <v>0</v>
      </c>
      <c r="Q34">
        <f t="shared" si="22"/>
        <v>0</v>
      </c>
      <c r="R34">
        <f t="shared" si="23"/>
        <v>0</v>
      </c>
      <c r="S34" s="141" t="b">
        <v>1</v>
      </c>
      <c r="T34" s="141" t="b">
        <v>0</v>
      </c>
      <c r="U34" s="141" t="b">
        <v>0</v>
      </c>
      <c r="V34" s="131"/>
      <c r="W34" s="131"/>
      <c r="X34" s="131"/>
      <c r="Y34" s="131"/>
      <c r="Z34" s="131"/>
      <c r="AA34" s="131"/>
      <c r="AB34" s="131"/>
      <c r="AC34" s="131"/>
      <c r="AD34" s="131"/>
    </row>
    <row r="35" spans="1:30" ht="14.4" x14ac:dyDescent="0.55000000000000004">
      <c r="A35" s="87" t="s">
        <v>891</v>
      </c>
      <c r="B35" s="145" t="s">
        <v>1013</v>
      </c>
      <c r="C35" s="83" t="s">
        <v>892</v>
      </c>
      <c r="D35" s="120" t="s">
        <v>752</v>
      </c>
      <c r="E35" s="130" t="s">
        <v>1014</v>
      </c>
      <c r="F35" s="129" t="s">
        <v>893</v>
      </c>
      <c r="G35">
        <f t="shared" si="12"/>
        <v>0</v>
      </c>
      <c r="H35">
        <f t="shared" si="13"/>
        <v>0</v>
      </c>
      <c r="I35">
        <f t="shared" si="14"/>
        <v>0</v>
      </c>
      <c r="J35">
        <f t="shared" si="15"/>
        <v>0</v>
      </c>
      <c r="K35">
        <f t="shared" si="16"/>
        <v>0</v>
      </c>
      <c r="L35">
        <f t="shared" si="17"/>
        <v>1</v>
      </c>
      <c r="M35">
        <f t="shared" si="18"/>
        <v>0</v>
      </c>
      <c r="N35">
        <f t="shared" si="19"/>
        <v>0</v>
      </c>
      <c r="O35">
        <f t="shared" si="20"/>
        <v>0</v>
      </c>
      <c r="P35">
        <f t="shared" si="21"/>
        <v>0</v>
      </c>
      <c r="Q35">
        <f t="shared" si="22"/>
        <v>0</v>
      </c>
      <c r="R35">
        <f t="shared" si="23"/>
        <v>0</v>
      </c>
      <c r="S35" s="141" t="b">
        <v>1</v>
      </c>
      <c r="T35" s="141" t="b">
        <v>1</v>
      </c>
      <c r="U35" s="141" t="b">
        <v>1</v>
      </c>
      <c r="V35" s="131"/>
      <c r="W35" s="131"/>
      <c r="X35" s="131"/>
      <c r="Y35" s="131"/>
      <c r="Z35" s="131"/>
      <c r="AA35" s="131"/>
      <c r="AB35" s="131"/>
      <c r="AC35" s="131"/>
      <c r="AD35" s="131"/>
    </row>
    <row r="36" spans="1:30" ht="14.4" x14ac:dyDescent="0.55000000000000004">
      <c r="A36" s="130" t="s">
        <v>896</v>
      </c>
      <c r="B36" s="144" t="s">
        <v>1013</v>
      </c>
      <c r="C36" s="130" t="s">
        <v>715</v>
      </c>
      <c r="D36" s="120" t="s">
        <v>752</v>
      </c>
      <c r="E36" s="130"/>
      <c r="F36" s="129" t="s">
        <v>897</v>
      </c>
      <c r="G36">
        <f t="shared" si="12"/>
        <v>0</v>
      </c>
      <c r="H36">
        <f t="shared" si="13"/>
        <v>0</v>
      </c>
      <c r="I36">
        <f t="shared" si="14"/>
        <v>0</v>
      </c>
      <c r="J36">
        <f t="shared" si="15"/>
        <v>0</v>
      </c>
      <c r="K36">
        <f t="shared" si="16"/>
        <v>0</v>
      </c>
      <c r="L36">
        <f t="shared" si="17"/>
        <v>1</v>
      </c>
      <c r="M36">
        <f t="shared" si="18"/>
        <v>0</v>
      </c>
      <c r="N36">
        <f t="shared" si="19"/>
        <v>0</v>
      </c>
      <c r="O36">
        <f t="shared" si="20"/>
        <v>0</v>
      </c>
      <c r="P36">
        <f t="shared" si="21"/>
        <v>0</v>
      </c>
      <c r="Q36">
        <f t="shared" si="22"/>
        <v>0</v>
      </c>
      <c r="R36">
        <f t="shared" si="23"/>
        <v>0</v>
      </c>
      <c r="S36" s="141" t="b">
        <v>0</v>
      </c>
      <c r="T36" s="141" t="b">
        <v>0</v>
      </c>
      <c r="U36" s="141" t="b">
        <v>0</v>
      </c>
      <c r="V36" s="131"/>
      <c r="W36" s="131"/>
      <c r="X36" s="131"/>
      <c r="Y36" s="131"/>
      <c r="Z36" s="131"/>
      <c r="AA36" s="131"/>
      <c r="AB36" s="131"/>
      <c r="AC36" s="131"/>
      <c r="AD36" s="131"/>
    </row>
    <row r="37" spans="1:30" ht="14.4" x14ac:dyDescent="0.55000000000000004">
      <c r="A37" s="130" t="s">
        <v>879</v>
      </c>
      <c r="B37" s="144" t="s">
        <v>1013</v>
      </c>
      <c r="C37" s="130" t="s">
        <v>880</v>
      </c>
      <c r="D37" s="120" t="s">
        <v>810</v>
      </c>
      <c r="E37" s="130"/>
      <c r="F37" s="129" t="s">
        <v>881</v>
      </c>
      <c r="G37">
        <f t="shared" si="12"/>
        <v>1</v>
      </c>
      <c r="H37">
        <f t="shared" si="13"/>
        <v>0</v>
      </c>
      <c r="I37">
        <f t="shared" si="14"/>
        <v>0</v>
      </c>
      <c r="J37">
        <f t="shared" si="15"/>
        <v>0</v>
      </c>
      <c r="K37">
        <f t="shared" si="16"/>
        <v>0</v>
      </c>
      <c r="L37">
        <f t="shared" si="17"/>
        <v>0</v>
      </c>
      <c r="M37">
        <f t="shared" si="18"/>
        <v>0</v>
      </c>
      <c r="N37">
        <f t="shared" si="19"/>
        <v>0</v>
      </c>
      <c r="O37">
        <f t="shared" si="20"/>
        <v>0</v>
      </c>
      <c r="P37">
        <f t="shared" si="21"/>
        <v>0</v>
      </c>
      <c r="Q37">
        <f t="shared" si="22"/>
        <v>0</v>
      </c>
      <c r="R37">
        <f t="shared" si="23"/>
        <v>0</v>
      </c>
      <c r="S37" s="141" t="b">
        <v>1</v>
      </c>
      <c r="T37" s="141" t="b">
        <v>1</v>
      </c>
      <c r="U37" s="141" t="b">
        <v>0</v>
      </c>
      <c r="V37" s="131"/>
      <c r="W37" s="131"/>
      <c r="X37" s="131"/>
      <c r="Y37" s="131"/>
      <c r="Z37" s="131"/>
      <c r="AA37" s="131"/>
      <c r="AB37" s="131"/>
      <c r="AC37" s="131"/>
      <c r="AD37" s="131"/>
    </row>
    <row r="38" spans="1:30" ht="14.4" x14ac:dyDescent="0.55000000000000004">
      <c r="A38" s="130" t="s">
        <v>874</v>
      </c>
      <c r="B38" s="144" t="s">
        <v>1015</v>
      </c>
      <c r="C38" s="130" t="s">
        <v>875</v>
      </c>
      <c r="D38" s="120" t="s">
        <v>810</v>
      </c>
      <c r="E38" s="130"/>
      <c r="F38" s="129" t="s">
        <v>876</v>
      </c>
      <c r="G38">
        <f t="shared" si="12"/>
        <v>1</v>
      </c>
      <c r="H38">
        <f t="shared" si="13"/>
        <v>0</v>
      </c>
      <c r="I38">
        <f t="shared" si="14"/>
        <v>0</v>
      </c>
      <c r="J38">
        <f t="shared" si="15"/>
        <v>0</v>
      </c>
      <c r="K38">
        <f t="shared" si="16"/>
        <v>0</v>
      </c>
      <c r="L38">
        <f t="shared" si="17"/>
        <v>0</v>
      </c>
      <c r="M38">
        <f t="shared" si="18"/>
        <v>0</v>
      </c>
      <c r="N38">
        <f t="shared" si="19"/>
        <v>0</v>
      </c>
      <c r="O38">
        <f t="shared" si="20"/>
        <v>0</v>
      </c>
      <c r="P38">
        <f t="shared" si="21"/>
        <v>0</v>
      </c>
      <c r="Q38">
        <f t="shared" si="22"/>
        <v>0</v>
      </c>
      <c r="R38">
        <f t="shared" si="23"/>
        <v>0</v>
      </c>
      <c r="S38" s="141" t="b">
        <v>1</v>
      </c>
      <c r="T38" s="141" t="b">
        <v>1</v>
      </c>
      <c r="U38" s="141" t="b">
        <v>0</v>
      </c>
      <c r="V38" s="131"/>
      <c r="W38" s="131"/>
      <c r="X38" s="131"/>
      <c r="Y38" s="131"/>
      <c r="Z38" s="131"/>
      <c r="AA38" s="131"/>
      <c r="AB38" s="131"/>
      <c r="AC38" s="131"/>
      <c r="AD38" s="131"/>
    </row>
    <row r="39" spans="1:30" ht="14.4" x14ac:dyDescent="0.55000000000000004">
      <c r="A39" s="130" t="s">
        <v>1016</v>
      </c>
      <c r="B39" s="144" t="s">
        <v>1017</v>
      </c>
      <c r="C39" s="130" t="s">
        <v>726</v>
      </c>
      <c r="D39" s="120" t="s">
        <v>752</v>
      </c>
      <c r="E39" s="130"/>
      <c r="F39" s="129" t="s">
        <v>878</v>
      </c>
      <c r="S39" s="141" t="b">
        <v>1</v>
      </c>
      <c r="T39" s="141" t="b">
        <v>1</v>
      </c>
      <c r="U39" s="141" t="b">
        <v>1</v>
      </c>
      <c r="V39" s="131"/>
      <c r="W39" s="131"/>
      <c r="X39" s="131"/>
      <c r="Y39" s="131"/>
      <c r="Z39" s="131"/>
      <c r="AA39" s="131"/>
      <c r="AB39" s="131"/>
      <c r="AC39" s="131"/>
      <c r="AD39" s="131"/>
    </row>
    <row r="40" spans="1:30" ht="14.4" x14ac:dyDescent="0.55000000000000004">
      <c r="A40" s="130" t="s">
        <v>1018</v>
      </c>
      <c r="B40" s="144" t="s">
        <v>1017</v>
      </c>
      <c r="C40" s="130" t="s">
        <v>1019</v>
      </c>
      <c r="D40" s="120" t="s">
        <v>752</v>
      </c>
      <c r="E40" s="130"/>
      <c r="F40" s="129" t="s">
        <v>878</v>
      </c>
      <c r="S40" s="141" t="b">
        <v>1</v>
      </c>
      <c r="T40" s="141" t="b">
        <v>1</v>
      </c>
      <c r="U40" s="141" t="b">
        <v>1</v>
      </c>
      <c r="V40" s="131"/>
      <c r="W40" s="131"/>
      <c r="X40" s="131"/>
      <c r="Y40" s="131"/>
      <c r="Z40" s="131"/>
      <c r="AA40" s="131"/>
      <c r="AB40" s="131"/>
      <c r="AC40" s="131"/>
      <c r="AD40" s="131"/>
    </row>
    <row r="41" spans="1:30" ht="14.4" x14ac:dyDescent="0.55000000000000004">
      <c r="A41" s="130" t="s">
        <v>1020</v>
      </c>
      <c r="B41" s="144" t="s">
        <v>1021</v>
      </c>
      <c r="C41" s="130" t="s">
        <v>852</v>
      </c>
      <c r="D41" s="120" t="s">
        <v>810</v>
      </c>
      <c r="E41" s="130"/>
      <c r="F41" s="129" t="s">
        <v>1022</v>
      </c>
      <c r="G41">
        <f t="shared" ref="G41:G88" si="24">IF(D41="Jason",1,0)</f>
        <v>1</v>
      </c>
      <c r="H41">
        <f t="shared" ref="H41:H88" si="25">IF($D41="Jordan",1,0)</f>
        <v>0</v>
      </c>
      <c r="I41">
        <f t="shared" ref="I41:I88" si="26">IF($D41="John",1,0)</f>
        <v>0</v>
      </c>
      <c r="J41">
        <f t="shared" ref="J41:J88" si="27">IF($D41="Yigit",1,0)</f>
        <v>0</v>
      </c>
      <c r="K41">
        <f t="shared" ref="K41:K88" si="28">IF($D41="Cagla",1,0)</f>
        <v>0</v>
      </c>
      <c r="L41">
        <f t="shared" ref="L41:L88" si="29">IF($D41="Berkay",1,0)</f>
        <v>0</v>
      </c>
      <c r="M41">
        <f t="shared" ref="M41:M88" si="30">IF($D41="Gozde",1,0)</f>
        <v>0</v>
      </c>
      <c r="N41">
        <f t="shared" ref="N41:N88" si="31">IF($D41="Mertcan",1,0)</f>
        <v>0</v>
      </c>
      <c r="O41">
        <f t="shared" ref="O41:O88" si="32">IF($D41="Amy",1,0)</f>
        <v>0</v>
      </c>
      <c r="P41">
        <f t="shared" ref="P41:P88" si="33">IF($D41="Jason / Derya",1,0)</f>
        <v>0</v>
      </c>
      <c r="Q41">
        <f t="shared" ref="Q41:Q88" si="34">IF($D41="Jason / Basak",1,0)</f>
        <v>0</v>
      </c>
      <c r="R41">
        <f t="shared" ref="R41:R88" si="35">IF($D41="Jason / Cagla",1,0)</f>
        <v>0</v>
      </c>
      <c r="S41" s="141" t="b">
        <v>1</v>
      </c>
      <c r="T41" s="141" t="b">
        <v>0</v>
      </c>
      <c r="U41" s="141" t="b">
        <v>0</v>
      </c>
      <c r="V41" s="131"/>
      <c r="W41" s="131"/>
      <c r="X41" s="131"/>
      <c r="Y41" s="131"/>
      <c r="Z41" s="131"/>
      <c r="AA41" s="131"/>
      <c r="AB41" s="131"/>
      <c r="AC41" s="131"/>
      <c r="AD41" s="131"/>
    </row>
    <row r="42" spans="1:30" ht="14.4" x14ac:dyDescent="0.55000000000000004">
      <c r="A42" s="130" t="s">
        <v>877</v>
      </c>
      <c r="B42" s="144" t="s">
        <v>1021</v>
      </c>
      <c r="C42" s="130" t="s">
        <v>875</v>
      </c>
      <c r="D42" s="120" t="s">
        <v>887</v>
      </c>
      <c r="E42" s="130"/>
      <c r="F42" s="129" t="s">
        <v>1023</v>
      </c>
      <c r="G42">
        <f t="shared" si="24"/>
        <v>0</v>
      </c>
      <c r="H42">
        <f t="shared" si="25"/>
        <v>0</v>
      </c>
      <c r="I42">
        <f t="shared" si="26"/>
        <v>1</v>
      </c>
      <c r="J42">
        <f t="shared" si="27"/>
        <v>0</v>
      </c>
      <c r="K42">
        <f t="shared" si="28"/>
        <v>0</v>
      </c>
      <c r="L42">
        <f t="shared" si="29"/>
        <v>0</v>
      </c>
      <c r="M42">
        <f t="shared" si="30"/>
        <v>0</v>
      </c>
      <c r="N42">
        <f t="shared" si="31"/>
        <v>0</v>
      </c>
      <c r="O42">
        <f t="shared" si="32"/>
        <v>0</v>
      </c>
      <c r="P42">
        <f t="shared" si="33"/>
        <v>0</v>
      </c>
      <c r="Q42">
        <f t="shared" si="34"/>
        <v>0</v>
      </c>
      <c r="R42">
        <f t="shared" si="35"/>
        <v>0</v>
      </c>
      <c r="S42" s="141" t="b">
        <v>1</v>
      </c>
      <c r="T42" s="141" t="b">
        <v>1</v>
      </c>
      <c r="U42" s="141" t="b">
        <v>0</v>
      </c>
      <c r="V42" s="131"/>
      <c r="W42" s="131"/>
      <c r="X42" s="131"/>
      <c r="Y42" s="131"/>
      <c r="Z42" s="131"/>
      <c r="AA42" s="131"/>
      <c r="AB42" s="131"/>
      <c r="AC42" s="131"/>
      <c r="AD42" s="131"/>
    </row>
    <row r="43" spans="1:30" ht="14.4" x14ac:dyDescent="0.55000000000000004">
      <c r="A43" s="130" t="s">
        <v>1024</v>
      </c>
      <c r="B43" s="143" t="s">
        <v>1025</v>
      </c>
      <c r="C43" s="130" t="s">
        <v>1026</v>
      </c>
      <c r="D43" s="122" t="s">
        <v>964</v>
      </c>
      <c r="E43" s="130"/>
      <c r="F43" s="129"/>
      <c r="G43">
        <f t="shared" si="24"/>
        <v>0</v>
      </c>
      <c r="H43">
        <f t="shared" si="25"/>
        <v>0</v>
      </c>
      <c r="I43">
        <f t="shared" si="26"/>
        <v>0</v>
      </c>
      <c r="J43">
        <f t="shared" si="27"/>
        <v>0</v>
      </c>
      <c r="K43">
        <f t="shared" si="28"/>
        <v>0</v>
      </c>
      <c r="L43">
        <f t="shared" si="29"/>
        <v>0</v>
      </c>
      <c r="M43">
        <f t="shared" si="30"/>
        <v>0</v>
      </c>
      <c r="N43">
        <f t="shared" si="31"/>
        <v>0</v>
      </c>
      <c r="O43">
        <f t="shared" si="32"/>
        <v>1</v>
      </c>
      <c r="P43">
        <f t="shared" si="33"/>
        <v>0</v>
      </c>
      <c r="Q43">
        <f t="shared" si="34"/>
        <v>0</v>
      </c>
      <c r="R43">
        <f t="shared" si="35"/>
        <v>0</v>
      </c>
      <c r="S43" s="141" t="b">
        <v>1</v>
      </c>
      <c r="T43" s="141" t="b">
        <v>0</v>
      </c>
      <c r="U43" s="141" t="b">
        <v>0</v>
      </c>
      <c r="V43" s="131"/>
      <c r="W43" s="131"/>
      <c r="X43" s="131"/>
      <c r="Y43" s="131"/>
      <c r="Z43" s="131"/>
      <c r="AA43" s="131"/>
      <c r="AB43" s="131"/>
      <c r="AC43" s="131"/>
      <c r="AD43" s="131"/>
    </row>
    <row r="44" spans="1:30" ht="14.4" x14ac:dyDescent="0.55000000000000004">
      <c r="A44" s="130" t="s">
        <v>1027</v>
      </c>
      <c r="B44" s="143" t="s">
        <v>1025</v>
      </c>
      <c r="C44" s="130" t="s">
        <v>1028</v>
      </c>
      <c r="D44" s="120" t="s">
        <v>810</v>
      </c>
      <c r="E44" s="130"/>
      <c r="F44" s="129"/>
      <c r="S44" s="141" t="b">
        <v>0</v>
      </c>
      <c r="T44" s="141" t="b">
        <v>0</v>
      </c>
      <c r="U44" s="141" t="b">
        <v>1</v>
      </c>
      <c r="V44" s="131"/>
      <c r="W44" s="131"/>
      <c r="X44" s="131"/>
      <c r="Y44" s="131"/>
      <c r="Z44" s="131"/>
      <c r="AA44" s="131"/>
      <c r="AB44" s="131"/>
      <c r="AC44" s="131"/>
      <c r="AD44" s="131"/>
    </row>
    <row r="45" spans="1:30" ht="14.4" x14ac:dyDescent="0.55000000000000004">
      <c r="A45" s="130" t="s">
        <v>909</v>
      </c>
      <c r="B45" s="143" t="s">
        <v>1025</v>
      </c>
      <c r="C45" s="130" t="s">
        <v>910</v>
      </c>
      <c r="D45" s="120" t="s">
        <v>810</v>
      </c>
      <c r="E45" s="130"/>
      <c r="F45" s="129" t="s">
        <v>911</v>
      </c>
      <c r="G45">
        <f t="shared" si="24"/>
        <v>1</v>
      </c>
      <c r="H45">
        <f t="shared" si="25"/>
        <v>0</v>
      </c>
      <c r="I45">
        <f t="shared" si="26"/>
        <v>0</v>
      </c>
      <c r="J45">
        <f t="shared" si="27"/>
        <v>0</v>
      </c>
      <c r="K45">
        <f t="shared" si="28"/>
        <v>0</v>
      </c>
      <c r="L45">
        <f t="shared" si="29"/>
        <v>0</v>
      </c>
      <c r="M45">
        <f t="shared" si="30"/>
        <v>0</v>
      </c>
      <c r="N45">
        <f t="shared" si="31"/>
        <v>0</v>
      </c>
      <c r="O45">
        <f t="shared" si="32"/>
        <v>0</v>
      </c>
      <c r="P45">
        <f t="shared" si="33"/>
        <v>0</v>
      </c>
      <c r="Q45">
        <f t="shared" si="34"/>
        <v>0</v>
      </c>
      <c r="R45">
        <f t="shared" si="35"/>
        <v>0</v>
      </c>
      <c r="S45" s="141" t="b">
        <v>0</v>
      </c>
      <c r="T45" s="141" t="b">
        <v>0</v>
      </c>
      <c r="U45" s="141" t="b">
        <v>0</v>
      </c>
      <c r="V45" s="131"/>
      <c r="W45" s="131"/>
      <c r="X45" s="131"/>
      <c r="Y45" s="131"/>
      <c r="Z45" s="131"/>
      <c r="AA45" s="131"/>
      <c r="AB45" s="131"/>
      <c r="AC45" s="131"/>
      <c r="AD45" s="131"/>
    </row>
    <row r="46" spans="1:30" ht="14.4" x14ac:dyDescent="0.55000000000000004">
      <c r="A46" s="130" t="s">
        <v>901</v>
      </c>
      <c r="B46" s="143" t="s">
        <v>1025</v>
      </c>
      <c r="C46" s="130" t="s">
        <v>85</v>
      </c>
      <c r="D46" s="122" t="s">
        <v>810</v>
      </c>
      <c r="E46" s="130"/>
      <c r="F46" s="129" t="s">
        <v>902</v>
      </c>
      <c r="G46">
        <f t="shared" si="24"/>
        <v>1</v>
      </c>
      <c r="H46">
        <f t="shared" si="25"/>
        <v>0</v>
      </c>
      <c r="I46">
        <f t="shared" si="26"/>
        <v>0</v>
      </c>
      <c r="J46">
        <f t="shared" si="27"/>
        <v>0</v>
      </c>
      <c r="K46">
        <f t="shared" si="28"/>
        <v>0</v>
      </c>
      <c r="L46">
        <f t="shared" si="29"/>
        <v>0</v>
      </c>
      <c r="M46">
        <f t="shared" si="30"/>
        <v>0</v>
      </c>
      <c r="N46">
        <f t="shared" si="31"/>
        <v>0</v>
      </c>
      <c r="O46">
        <f t="shared" si="32"/>
        <v>0</v>
      </c>
      <c r="P46">
        <f t="shared" si="33"/>
        <v>0</v>
      </c>
      <c r="Q46">
        <f t="shared" si="34"/>
        <v>0</v>
      </c>
      <c r="R46">
        <f t="shared" si="35"/>
        <v>0</v>
      </c>
      <c r="S46" s="141" t="b">
        <v>1</v>
      </c>
      <c r="T46" s="141" t="b">
        <v>0</v>
      </c>
      <c r="U46" s="141" t="b">
        <v>1</v>
      </c>
      <c r="V46" s="131"/>
      <c r="W46" s="131"/>
      <c r="X46" s="131"/>
      <c r="Y46" s="131"/>
      <c r="Z46" s="131"/>
      <c r="AA46" s="131"/>
      <c r="AB46" s="131"/>
      <c r="AC46" s="131"/>
      <c r="AD46" s="131"/>
    </row>
    <row r="47" spans="1:30" ht="14.4" x14ac:dyDescent="0.55000000000000004">
      <c r="A47" s="170" t="s">
        <v>794</v>
      </c>
      <c r="B47" s="146" t="s">
        <v>1029</v>
      </c>
      <c r="C47" s="173" t="s">
        <v>795</v>
      </c>
      <c r="D47" s="120" t="s">
        <v>810</v>
      </c>
      <c r="E47" s="130"/>
      <c r="F47" s="129" t="s">
        <v>796</v>
      </c>
      <c r="G47">
        <f t="shared" si="24"/>
        <v>1</v>
      </c>
      <c r="H47">
        <f t="shared" si="25"/>
        <v>0</v>
      </c>
      <c r="I47">
        <f t="shared" si="26"/>
        <v>0</v>
      </c>
      <c r="J47">
        <f t="shared" si="27"/>
        <v>0</v>
      </c>
      <c r="K47">
        <f t="shared" si="28"/>
        <v>0</v>
      </c>
      <c r="L47">
        <f t="shared" si="29"/>
        <v>0</v>
      </c>
      <c r="M47">
        <f t="shared" si="30"/>
        <v>0</v>
      </c>
      <c r="N47">
        <f t="shared" si="31"/>
        <v>0</v>
      </c>
      <c r="O47">
        <f t="shared" si="32"/>
        <v>0</v>
      </c>
      <c r="P47">
        <f t="shared" si="33"/>
        <v>0</v>
      </c>
      <c r="Q47">
        <f t="shared" si="34"/>
        <v>0</v>
      </c>
      <c r="R47">
        <f t="shared" si="35"/>
        <v>0</v>
      </c>
      <c r="S47" s="141" t="b">
        <v>0</v>
      </c>
      <c r="T47" s="141" t="b">
        <v>0</v>
      </c>
      <c r="U47" s="141" t="b">
        <v>0</v>
      </c>
      <c r="V47" s="131"/>
      <c r="W47" s="131"/>
      <c r="X47" s="131"/>
      <c r="Y47" s="131"/>
      <c r="Z47" s="131"/>
      <c r="AA47" s="131"/>
      <c r="AB47" s="131"/>
      <c r="AC47" s="131"/>
      <c r="AD47" s="131"/>
    </row>
    <row r="48" spans="1:30" ht="14.4" x14ac:dyDescent="0.55000000000000004">
      <c r="A48" s="87" t="s">
        <v>785</v>
      </c>
      <c r="B48" s="147" t="s">
        <v>1029</v>
      </c>
      <c r="C48" s="83" t="s">
        <v>786</v>
      </c>
      <c r="D48" s="122" t="s">
        <v>810</v>
      </c>
      <c r="E48" s="130" t="s">
        <v>991</v>
      </c>
      <c r="F48" s="129"/>
      <c r="G48">
        <f t="shared" si="24"/>
        <v>1</v>
      </c>
      <c r="H48">
        <f t="shared" si="25"/>
        <v>0</v>
      </c>
      <c r="I48">
        <f t="shared" si="26"/>
        <v>0</v>
      </c>
      <c r="J48">
        <f t="shared" si="27"/>
        <v>0</v>
      </c>
      <c r="K48">
        <f t="shared" si="28"/>
        <v>0</v>
      </c>
      <c r="L48">
        <f t="shared" si="29"/>
        <v>0</v>
      </c>
      <c r="M48">
        <f t="shared" si="30"/>
        <v>0</v>
      </c>
      <c r="N48">
        <f t="shared" si="31"/>
        <v>0</v>
      </c>
      <c r="O48">
        <f t="shared" si="32"/>
        <v>0</v>
      </c>
      <c r="P48">
        <f t="shared" si="33"/>
        <v>0</v>
      </c>
      <c r="Q48">
        <f t="shared" si="34"/>
        <v>0</v>
      </c>
      <c r="R48">
        <f t="shared" si="35"/>
        <v>0</v>
      </c>
      <c r="S48" s="141" t="b">
        <v>1</v>
      </c>
      <c r="T48" s="141" t="b">
        <v>1</v>
      </c>
      <c r="U48" s="141" t="b">
        <v>1</v>
      </c>
      <c r="V48" s="131"/>
      <c r="W48" s="131"/>
      <c r="X48" s="131"/>
      <c r="Y48" s="131"/>
      <c r="Z48" s="131"/>
      <c r="AA48" s="131"/>
      <c r="AB48" s="131"/>
      <c r="AC48" s="131"/>
      <c r="AD48" s="131"/>
    </row>
    <row r="49" spans="1:30" ht="14.4" x14ac:dyDescent="0.55000000000000004">
      <c r="A49" s="77" t="s">
        <v>788</v>
      </c>
      <c r="B49" s="147" t="s">
        <v>1029</v>
      </c>
      <c r="C49" s="78" t="s">
        <v>726</v>
      </c>
      <c r="D49" s="120" t="s">
        <v>787</v>
      </c>
      <c r="E49" s="130" t="s">
        <v>991</v>
      </c>
      <c r="F49" s="129" t="s">
        <v>789</v>
      </c>
      <c r="G49">
        <f t="shared" si="24"/>
        <v>0</v>
      </c>
      <c r="H49">
        <f t="shared" si="25"/>
        <v>0</v>
      </c>
      <c r="I49">
        <f t="shared" si="26"/>
        <v>0</v>
      </c>
      <c r="J49">
        <f t="shared" si="27"/>
        <v>1</v>
      </c>
      <c r="K49">
        <f t="shared" si="28"/>
        <v>0</v>
      </c>
      <c r="L49">
        <f t="shared" si="29"/>
        <v>0</v>
      </c>
      <c r="M49">
        <f t="shared" si="30"/>
        <v>0</v>
      </c>
      <c r="N49">
        <f t="shared" si="31"/>
        <v>0</v>
      </c>
      <c r="O49">
        <f t="shared" si="32"/>
        <v>0</v>
      </c>
      <c r="P49">
        <f t="shared" si="33"/>
        <v>0</v>
      </c>
      <c r="Q49">
        <f t="shared" si="34"/>
        <v>0</v>
      </c>
      <c r="R49">
        <f t="shared" si="35"/>
        <v>0</v>
      </c>
      <c r="S49" s="141" t="b">
        <v>1</v>
      </c>
      <c r="T49" s="141" t="b">
        <v>1</v>
      </c>
      <c r="U49" s="141" t="b">
        <v>1</v>
      </c>
      <c r="V49" s="131"/>
      <c r="W49" s="131"/>
      <c r="X49" s="131"/>
      <c r="Y49" s="131"/>
      <c r="Z49" s="131"/>
      <c r="AA49" s="131"/>
      <c r="AB49" s="131"/>
      <c r="AC49" s="131"/>
      <c r="AD49" s="131"/>
    </row>
    <row r="50" spans="1:30" ht="14.4" x14ac:dyDescent="0.55000000000000004">
      <c r="A50" s="77" t="s">
        <v>791</v>
      </c>
      <c r="B50" s="147" t="s">
        <v>1029</v>
      </c>
      <c r="C50" s="78" t="s">
        <v>792</v>
      </c>
      <c r="D50" s="122" t="s">
        <v>787</v>
      </c>
      <c r="E50" s="130" t="s">
        <v>991</v>
      </c>
      <c r="F50" s="129"/>
      <c r="G50">
        <f t="shared" si="24"/>
        <v>0</v>
      </c>
      <c r="H50">
        <f t="shared" si="25"/>
        <v>0</v>
      </c>
      <c r="I50">
        <f t="shared" si="26"/>
        <v>0</v>
      </c>
      <c r="J50">
        <f t="shared" si="27"/>
        <v>1</v>
      </c>
      <c r="K50">
        <f t="shared" si="28"/>
        <v>0</v>
      </c>
      <c r="L50">
        <f t="shared" si="29"/>
        <v>0</v>
      </c>
      <c r="M50">
        <f t="shared" si="30"/>
        <v>0</v>
      </c>
      <c r="N50">
        <f t="shared" si="31"/>
        <v>0</v>
      </c>
      <c r="O50">
        <f t="shared" si="32"/>
        <v>0</v>
      </c>
      <c r="P50">
        <f t="shared" si="33"/>
        <v>0</v>
      </c>
      <c r="Q50">
        <f t="shared" si="34"/>
        <v>0</v>
      </c>
      <c r="R50">
        <f t="shared" si="35"/>
        <v>0</v>
      </c>
      <c r="S50" s="141" t="b">
        <v>1</v>
      </c>
      <c r="T50" s="141" t="b">
        <v>0</v>
      </c>
      <c r="U50" s="141" t="b">
        <v>0</v>
      </c>
      <c r="V50" s="131"/>
      <c r="W50" s="131"/>
      <c r="X50" s="131"/>
      <c r="Y50" s="131"/>
      <c r="Z50" s="131"/>
      <c r="AA50" s="131"/>
      <c r="AB50" s="131"/>
      <c r="AC50" s="131"/>
      <c r="AD50" s="131"/>
    </row>
    <row r="51" spans="1:30" ht="14.4" x14ac:dyDescent="0.55000000000000004">
      <c r="A51" s="52" t="s">
        <v>1030</v>
      </c>
      <c r="B51" s="65" t="s">
        <v>1031</v>
      </c>
      <c r="C51" s="68" t="s">
        <v>715</v>
      </c>
      <c r="D51" s="122" t="s">
        <v>787</v>
      </c>
      <c r="E51" s="131"/>
      <c r="F51" s="166" t="s">
        <v>1032</v>
      </c>
      <c r="G51">
        <f t="shared" si="24"/>
        <v>0</v>
      </c>
      <c r="H51">
        <f t="shared" si="25"/>
        <v>0</v>
      </c>
      <c r="I51">
        <f t="shared" si="26"/>
        <v>0</v>
      </c>
      <c r="J51">
        <f t="shared" si="27"/>
        <v>1</v>
      </c>
      <c r="K51">
        <f t="shared" si="28"/>
        <v>0</v>
      </c>
      <c r="L51">
        <f t="shared" si="29"/>
        <v>0</v>
      </c>
      <c r="M51">
        <f t="shared" si="30"/>
        <v>0</v>
      </c>
      <c r="N51">
        <f t="shared" si="31"/>
        <v>0</v>
      </c>
      <c r="O51">
        <f t="shared" si="32"/>
        <v>0</v>
      </c>
      <c r="P51">
        <f t="shared" si="33"/>
        <v>0</v>
      </c>
      <c r="Q51">
        <f t="shared" si="34"/>
        <v>0</v>
      </c>
      <c r="R51">
        <f t="shared" si="35"/>
        <v>0</v>
      </c>
      <c r="S51" s="141" t="b">
        <v>0</v>
      </c>
      <c r="T51" s="141" t="b">
        <v>0</v>
      </c>
      <c r="U51" s="141" t="b">
        <v>0</v>
      </c>
      <c r="V51" s="131"/>
      <c r="W51" s="131"/>
      <c r="X51" s="131"/>
      <c r="Y51" s="131"/>
      <c r="Z51" s="131"/>
      <c r="AA51" s="131"/>
      <c r="AB51" s="131"/>
      <c r="AC51" s="131"/>
      <c r="AD51" s="131"/>
    </row>
    <row r="52" spans="1:30" ht="14.4" x14ac:dyDescent="0.55000000000000004">
      <c r="A52" s="86" t="s">
        <v>805</v>
      </c>
      <c r="B52" s="147" t="s">
        <v>1033</v>
      </c>
      <c r="C52" s="78" t="s">
        <v>806</v>
      </c>
      <c r="D52" s="120" t="s">
        <v>810</v>
      </c>
      <c r="E52" s="130"/>
      <c r="F52" s="129" t="s">
        <v>807</v>
      </c>
      <c r="G52">
        <f t="shared" si="24"/>
        <v>1</v>
      </c>
      <c r="H52">
        <f t="shared" si="25"/>
        <v>0</v>
      </c>
      <c r="I52">
        <f t="shared" si="26"/>
        <v>0</v>
      </c>
      <c r="J52">
        <f t="shared" si="27"/>
        <v>0</v>
      </c>
      <c r="K52">
        <f t="shared" si="28"/>
        <v>0</v>
      </c>
      <c r="L52">
        <f t="shared" si="29"/>
        <v>0</v>
      </c>
      <c r="M52">
        <f t="shared" si="30"/>
        <v>0</v>
      </c>
      <c r="N52">
        <f t="shared" si="31"/>
        <v>0</v>
      </c>
      <c r="O52">
        <f t="shared" si="32"/>
        <v>0</v>
      </c>
      <c r="P52">
        <f t="shared" si="33"/>
        <v>0</v>
      </c>
      <c r="Q52">
        <f t="shared" si="34"/>
        <v>0</v>
      </c>
      <c r="R52">
        <f t="shared" si="35"/>
        <v>0</v>
      </c>
      <c r="S52" s="141" t="b">
        <v>1</v>
      </c>
      <c r="T52" s="141" t="b">
        <v>1</v>
      </c>
      <c r="U52" s="141" t="b">
        <v>1</v>
      </c>
      <c r="V52" s="131"/>
      <c r="W52" s="131"/>
      <c r="X52" s="131"/>
      <c r="Y52" s="131"/>
      <c r="Z52" s="131"/>
      <c r="AA52" s="131"/>
      <c r="AB52" s="131"/>
      <c r="AC52" s="131"/>
      <c r="AD52" s="131"/>
    </row>
    <row r="53" spans="1:30" ht="14.4" x14ac:dyDescent="0.55000000000000004">
      <c r="A53" s="77" t="s">
        <v>815</v>
      </c>
      <c r="B53" s="147" t="s">
        <v>1033</v>
      </c>
      <c r="C53" s="78" t="s">
        <v>715</v>
      </c>
      <c r="D53" s="120" t="s">
        <v>787</v>
      </c>
      <c r="E53" s="130"/>
      <c r="F53" s="129" t="s">
        <v>816</v>
      </c>
      <c r="G53">
        <f t="shared" si="24"/>
        <v>0</v>
      </c>
      <c r="H53">
        <f t="shared" si="25"/>
        <v>0</v>
      </c>
      <c r="I53">
        <f t="shared" si="26"/>
        <v>0</v>
      </c>
      <c r="J53">
        <f t="shared" si="27"/>
        <v>1</v>
      </c>
      <c r="K53">
        <f t="shared" si="28"/>
        <v>0</v>
      </c>
      <c r="L53">
        <f t="shared" si="29"/>
        <v>0</v>
      </c>
      <c r="M53">
        <f t="shared" si="30"/>
        <v>0</v>
      </c>
      <c r="N53">
        <f t="shared" si="31"/>
        <v>0</v>
      </c>
      <c r="O53">
        <f t="shared" si="32"/>
        <v>0</v>
      </c>
      <c r="P53">
        <f t="shared" si="33"/>
        <v>0</v>
      </c>
      <c r="Q53">
        <f t="shared" si="34"/>
        <v>0</v>
      </c>
      <c r="R53">
        <f t="shared" si="35"/>
        <v>0</v>
      </c>
      <c r="S53" s="141" t="b">
        <v>1</v>
      </c>
      <c r="T53" s="141" t="b">
        <v>1</v>
      </c>
      <c r="U53" s="141" t="b">
        <v>1</v>
      </c>
      <c r="V53" s="131"/>
      <c r="W53" s="131"/>
      <c r="X53" s="131"/>
      <c r="Y53" s="131"/>
      <c r="Z53" s="131"/>
      <c r="AA53" s="131"/>
      <c r="AB53" s="131"/>
      <c r="AC53" s="131"/>
      <c r="AD53" s="131"/>
    </row>
    <row r="54" spans="1:30" ht="14.4" x14ac:dyDescent="0.55000000000000004">
      <c r="A54" s="87" t="s">
        <v>802</v>
      </c>
      <c r="B54" s="147" t="s">
        <v>797</v>
      </c>
      <c r="C54" s="78" t="s">
        <v>726</v>
      </c>
      <c r="D54" s="120" t="s">
        <v>810</v>
      </c>
      <c r="E54" s="130"/>
      <c r="F54" s="129" t="s">
        <v>799</v>
      </c>
      <c r="G54">
        <f t="shared" si="24"/>
        <v>1</v>
      </c>
      <c r="H54">
        <f t="shared" si="25"/>
        <v>0</v>
      </c>
      <c r="I54">
        <f t="shared" si="26"/>
        <v>0</v>
      </c>
      <c r="J54">
        <f t="shared" si="27"/>
        <v>0</v>
      </c>
      <c r="K54">
        <f t="shared" si="28"/>
        <v>0</v>
      </c>
      <c r="L54">
        <f t="shared" si="29"/>
        <v>0</v>
      </c>
      <c r="M54">
        <f t="shared" si="30"/>
        <v>0</v>
      </c>
      <c r="N54">
        <f t="shared" si="31"/>
        <v>0</v>
      </c>
      <c r="O54">
        <f t="shared" si="32"/>
        <v>0</v>
      </c>
      <c r="P54">
        <f t="shared" si="33"/>
        <v>0</v>
      </c>
      <c r="Q54">
        <f t="shared" si="34"/>
        <v>0</v>
      </c>
      <c r="R54">
        <f t="shared" si="35"/>
        <v>0</v>
      </c>
      <c r="S54" s="141" t="b">
        <v>0</v>
      </c>
      <c r="T54" s="141" t="b">
        <v>0</v>
      </c>
      <c r="U54" s="141" t="b">
        <v>0</v>
      </c>
      <c r="V54" s="131"/>
      <c r="W54" s="131"/>
      <c r="X54" s="131"/>
      <c r="Y54" s="131"/>
      <c r="Z54" s="131"/>
      <c r="AA54" s="131"/>
      <c r="AB54" s="131"/>
      <c r="AC54" s="131"/>
      <c r="AD54" s="131"/>
    </row>
    <row r="55" spans="1:30" ht="14.4" x14ac:dyDescent="0.55000000000000004">
      <c r="A55" s="77" t="s">
        <v>798</v>
      </c>
      <c r="B55" s="147" t="s">
        <v>797</v>
      </c>
      <c r="C55" s="88" t="s">
        <v>726</v>
      </c>
      <c r="D55" s="120" t="s">
        <v>749</v>
      </c>
      <c r="E55" s="130" t="s">
        <v>989</v>
      </c>
      <c r="F55" s="129" t="s">
        <v>799</v>
      </c>
      <c r="G55">
        <f t="shared" si="24"/>
        <v>0</v>
      </c>
      <c r="H55">
        <f t="shared" si="25"/>
        <v>1</v>
      </c>
      <c r="I55">
        <f t="shared" si="26"/>
        <v>0</v>
      </c>
      <c r="J55">
        <f t="shared" si="27"/>
        <v>0</v>
      </c>
      <c r="K55">
        <f t="shared" si="28"/>
        <v>0</v>
      </c>
      <c r="L55">
        <f t="shared" si="29"/>
        <v>0</v>
      </c>
      <c r="M55">
        <f t="shared" si="30"/>
        <v>0</v>
      </c>
      <c r="N55">
        <f t="shared" si="31"/>
        <v>0</v>
      </c>
      <c r="O55">
        <f t="shared" si="32"/>
        <v>0</v>
      </c>
      <c r="P55">
        <f t="shared" si="33"/>
        <v>0</v>
      </c>
      <c r="Q55">
        <f t="shared" si="34"/>
        <v>0</v>
      </c>
      <c r="R55">
        <f t="shared" si="35"/>
        <v>0</v>
      </c>
      <c r="S55" s="141" t="b">
        <v>1</v>
      </c>
      <c r="T55" s="141" t="b">
        <v>1</v>
      </c>
      <c r="U55" s="141" t="b">
        <v>0</v>
      </c>
      <c r="V55" s="131"/>
      <c r="W55" s="131"/>
      <c r="X55" s="131"/>
      <c r="Y55" s="131"/>
      <c r="Z55" s="131"/>
      <c r="AA55" s="131"/>
      <c r="AB55" s="131"/>
      <c r="AC55" s="131"/>
      <c r="AD55" s="131"/>
    </row>
    <row r="56" spans="1:30" ht="14.4" x14ac:dyDescent="0.55000000000000004">
      <c r="A56" s="89" t="s">
        <v>800</v>
      </c>
      <c r="B56" s="143" t="s">
        <v>797</v>
      </c>
      <c r="C56" s="78" t="s">
        <v>801</v>
      </c>
      <c r="D56" s="120" t="s">
        <v>787</v>
      </c>
      <c r="E56" s="130"/>
      <c r="F56" s="129" t="s">
        <v>799</v>
      </c>
      <c r="G56">
        <f t="shared" si="24"/>
        <v>0</v>
      </c>
      <c r="H56">
        <f t="shared" si="25"/>
        <v>0</v>
      </c>
      <c r="I56">
        <f t="shared" si="26"/>
        <v>0</v>
      </c>
      <c r="J56">
        <f t="shared" si="27"/>
        <v>1</v>
      </c>
      <c r="K56">
        <f t="shared" si="28"/>
        <v>0</v>
      </c>
      <c r="L56">
        <f t="shared" si="29"/>
        <v>0</v>
      </c>
      <c r="M56">
        <f t="shared" si="30"/>
        <v>0</v>
      </c>
      <c r="N56">
        <f t="shared" si="31"/>
        <v>0</v>
      </c>
      <c r="O56">
        <f t="shared" si="32"/>
        <v>0</v>
      </c>
      <c r="P56">
        <f t="shared" si="33"/>
        <v>0</v>
      </c>
      <c r="Q56">
        <f t="shared" si="34"/>
        <v>0</v>
      </c>
      <c r="R56">
        <f t="shared" si="35"/>
        <v>0</v>
      </c>
      <c r="S56" s="141" t="b">
        <v>1</v>
      </c>
      <c r="T56" s="141" t="b">
        <v>0</v>
      </c>
      <c r="U56" s="141" t="b">
        <v>0</v>
      </c>
      <c r="V56" s="131"/>
      <c r="W56" s="131"/>
      <c r="X56" s="131"/>
      <c r="Y56" s="131"/>
      <c r="Z56" s="131"/>
      <c r="AA56" s="131"/>
      <c r="AB56" s="131"/>
      <c r="AC56" s="131"/>
      <c r="AD56" s="131"/>
    </row>
    <row r="57" spans="1:30" ht="14.4" x14ac:dyDescent="0.55000000000000004">
      <c r="A57" s="81" t="s">
        <v>824</v>
      </c>
      <c r="B57" s="143" t="s">
        <v>823</v>
      </c>
      <c r="C57" s="78" t="s">
        <v>825</v>
      </c>
      <c r="D57" s="120" t="s">
        <v>810</v>
      </c>
      <c r="E57" s="130"/>
      <c r="F57" s="129"/>
      <c r="G57">
        <f t="shared" si="24"/>
        <v>1</v>
      </c>
      <c r="H57">
        <f t="shared" si="25"/>
        <v>0</v>
      </c>
      <c r="I57">
        <f t="shared" si="26"/>
        <v>0</v>
      </c>
      <c r="J57">
        <f t="shared" si="27"/>
        <v>0</v>
      </c>
      <c r="K57">
        <f t="shared" si="28"/>
        <v>0</v>
      </c>
      <c r="L57">
        <f t="shared" si="29"/>
        <v>0</v>
      </c>
      <c r="M57">
        <f t="shared" si="30"/>
        <v>0</v>
      </c>
      <c r="N57">
        <f t="shared" si="31"/>
        <v>0</v>
      </c>
      <c r="O57">
        <f t="shared" si="32"/>
        <v>0</v>
      </c>
      <c r="P57">
        <f t="shared" si="33"/>
        <v>0</v>
      </c>
      <c r="Q57">
        <f t="shared" si="34"/>
        <v>0</v>
      </c>
      <c r="R57">
        <f t="shared" si="35"/>
        <v>0</v>
      </c>
      <c r="S57" s="141" t="b">
        <v>0</v>
      </c>
      <c r="T57" s="141" t="b">
        <v>1</v>
      </c>
      <c r="U57" s="141" t="b">
        <v>0</v>
      </c>
      <c r="V57" s="131"/>
      <c r="W57" s="131"/>
      <c r="X57" s="131"/>
      <c r="Y57" s="131"/>
      <c r="Z57" s="131"/>
      <c r="AA57" s="131"/>
      <c r="AB57" s="131"/>
      <c r="AC57" s="131"/>
      <c r="AD57" s="131"/>
    </row>
    <row r="58" spans="1:30" ht="14.4" x14ac:dyDescent="0.55000000000000004">
      <c r="A58" s="81" t="s">
        <v>1034</v>
      </c>
      <c r="B58" s="143" t="s">
        <v>823</v>
      </c>
      <c r="C58" s="78" t="s">
        <v>1035</v>
      </c>
      <c r="D58" s="120" t="s">
        <v>787</v>
      </c>
      <c r="E58" s="130"/>
      <c r="F58" s="129"/>
      <c r="G58">
        <f t="shared" si="24"/>
        <v>0</v>
      </c>
      <c r="H58">
        <f t="shared" si="25"/>
        <v>0</v>
      </c>
      <c r="I58">
        <f t="shared" si="26"/>
        <v>0</v>
      </c>
      <c r="J58">
        <f t="shared" si="27"/>
        <v>1</v>
      </c>
      <c r="K58">
        <f t="shared" si="28"/>
        <v>0</v>
      </c>
      <c r="L58">
        <f t="shared" si="29"/>
        <v>0</v>
      </c>
      <c r="M58">
        <f t="shared" si="30"/>
        <v>0</v>
      </c>
      <c r="N58">
        <f t="shared" si="31"/>
        <v>0</v>
      </c>
      <c r="O58">
        <f t="shared" si="32"/>
        <v>0</v>
      </c>
      <c r="P58">
        <f t="shared" si="33"/>
        <v>0</v>
      </c>
      <c r="Q58">
        <f t="shared" si="34"/>
        <v>0</v>
      </c>
      <c r="R58">
        <f t="shared" si="35"/>
        <v>0</v>
      </c>
      <c r="S58" s="141" t="b">
        <v>0</v>
      </c>
      <c r="T58" s="141" t="b">
        <v>1</v>
      </c>
      <c r="U58" s="141" t="b">
        <v>1</v>
      </c>
      <c r="V58" s="131"/>
      <c r="W58" s="131"/>
      <c r="X58" s="131"/>
      <c r="Y58" s="131"/>
      <c r="Z58" s="131"/>
      <c r="AA58" s="131"/>
      <c r="AB58" s="131"/>
      <c r="AC58" s="131"/>
      <c r="AD58" s="131"/>
    </row>
    <row r="59" spans="1:30" ht="14.4" x14ac:dyDescent="0.55000000000000004">
      <c r="A59" s="81" t="s">
        <v>1036</v>
      </c>
      <c r="B59" s="143" t="s">
        <v>823</v>
      </c>
      <c r="C59" s="78" t="s">
        <v>1037</v>
      </c>
      <c r="D59" s="120" t="s">
        <v>787</v>
      </c>
      <c r="E59" s="130" t="s">
        <v>979</v>
      </c>
      <c r="F59" s="129"/>
      <c r="G59">
        <f t="shared" si="24"/>
        <v>0</v>
      </c>
      <c r="H59">
        <f t="shared" si="25"/>
        <v>0</v>
      </c>
      <c r="I59">
        <f t="shared" si="26"/>
        <v>0</v>
      </c>
      <c r="J59">
        <f t="shared" si="27"/>
        <v>1</v>
      </c>
      <c r="K59">
        <f t="shared" si="28"/>
        <v>0</v>
      </c>
      <c r="L59">
        <f t="shared" si="29"/>
        <v>0</v>
      </c>
      <c r="M59">
        <f t="shared" si="30"/>
        <v>0</v>
      </c>
      <c r="N59">
        <f t="shared" si="31"/>
        <v>0</v>
      </c>
      <c r="O59">
        <f t="shared" si="32"/>
        <v>0</v>
      </c>
      <c r="P59">
        <f t="shared" si="33"/>
        <v>0</v>
      </c>
      <c r="Q59">
        <f t="shared" si="34"/>
        <v>0</v>
      </c>
      <c r="R59">
        <f t="shared" si="35"/>
        <v>0</v>
      </c>
      <c r="S59" s="141" t="b">
        <v>1</v>
      </c>
      <c r="T59" s="141" t="b">
        <v>0</v>
      </c>
      <c r="U59" s="141" t="b">
        <v>1</v>
      </c>
      <c r="V59" s="131"/>
      <c r="W59" s="131"/>
      <c r="X59" s="131"/>
      <c r="Y59" s="131"/>
      <c r="Z59" s="131"/>
      <c r="AA59" s="131"/>
      <c r="AB59" s="131"/>
      <c r="AC59" s="131"/>
      <c r="AD59" s="131"/>
    </row>
    <row r="60" spans="1:30" ht="14.4" x14ac:dyDescent="0.55000000000000004">
      <c r="A60" s="129" t="s">
        <v>828</v>
      </c>
      <c r="B60" s="143" t="s">
        <v>823</v>
      </c>
      <c r="C60" s="51" t="s">
        <v>829</v>
      </c>
      <c r="D60" s="120" t="s">
        <v>787</v>
      </c>
      <c r="E60" s="131"/>
      <c r="F60" s="129" t="s">
        <v>830</v>
      </c>
      <c r="G60">
        <f t="shared" si="24"/>
        <v>0</v>
      </c>
      <c r="H60">
        <f t="shared" si="25"/>
        <v>0</v>
      </c>
      <c r="I60">
        <f t="shared" si="26"/>
        <v>0</v>
      </c>
      <c r="J60">
        <f t="shared" si="27"/>
        <v>1</v>
      </c>
      <c r="K60">
        <f t="shared" si="28"/>
        <v>0</v>
      </c>
      <c r="L60">
        <f t="shared" si="29"/>
        <v>0</v>
      </c>
      <c r="M60">
        <f t="shared" si="30"/>
        <v>0</v>
      </c>
      <c r="N60">
        <f t="shared" si="31"/>
        <v>0</v>
      </c>
      <c r="O60">
        <f t="shared" si="32"/>
        <v>0</v>
      </c>
      <c r="P60">
        <f t="shared" si="33"/>
        <v>0</v>
      </c>
      <c r="Q60">
        <f t="shared" si="34"/>
        <v>0</v>
      </c>
      <c r="R60">
        <f t="shared" si="35"/>
        <v>0</v>
      </c>
      <c r="S60" s="141" t="b">
        <v>1</v>
      </c>
      <c r="T60" s="141" t="b">
        <v>1</v>
      </c>
      <c r="U60" s="141" t="b">
        <v>1</v>
      </c>
      <c r="V60" s="131"/>
      <c r="W60" s="131"/>
      <c r="X60" s="131"/>
      <c r="Y60" s="131"/>
      <c r="Z60" s="131"/>
      <c r="AA60" s="131"/>
      <c r="AB60" s="131"/>
      <c r="AC60" s="131"/>
      <c r="AD60" s="131"/>
    </row>
    <row r="61" spans="1:30" ht="14.4" x14ac:dyDescent="0.55000000000000004">
      <c r="A61" s="81" t="s">
        <v>1038</v>
      </c>
      <c r="B61" s="143" t="s">
        <v>817</v>
      </c>
      <c r="C61" s="78" t="s">
        <v>806</v>
      </c>
      <c r="D61" s="120" t="s">
        <v>959</v>
      </c>
      <c r="E61" s="131" t="s">
        <v>979</v>
      </c>
      <c r="F61" s="129" t="s">
        <v>820</v>
      </c>
      <c r="G61">
        <f t="shared" si="24"/>
        <v>0</v>
      </c>
      <c r="H61">
        <f t="shared" si="25"/>
        <v>0</v>
      </c>
      <c r="I61">
        <f t="shared" si="26"/>
        <v>0</v>
      </c>
      <c r="J61">
        <f t="shared" si="27"/>
        <v>0</v>
      </c>
      <c r="K61">
        <f t="shared" si="28"/>
        <v>1</v>
      </c>
      <c r="L61">
        <f t="shared" si="29"/>
        <v>0</v>
      </c>
      <c r="M61">
        <f t="shared" si="30"/>
        <v>0</v>
      </c>
      <c r="N61">
        <f t="shared" si="31"/>
        <v>0</v>
      </c>
      <c r="O61">
        <f t="shared" si="32"/>
        <v>0</v>
      </c>
      <c r="P61">
        <f t="shared" si="33"/>
        <v>0</v>
      </c>
      <c r="Q61">
        <f t="shared" si="34"/>
        <v>0</v>
      </c>
      <c r="R61">
        <f t="shared" si="35"/>
        <v>0</v>
      </c>
      <c r="S61" s="141" t="b">
        <v>1</v>
      </c>
      <c r="T61" s="141" t="b">
        <v>1</v>
      </c>
      <c r="U61" s="141" t="b">
        <v>1</v>
      </c>
      <c r="V61" s="131"/>
      <c r="W61" s="131"/>
      <c r="X61" s="131"/>
      <c r="Y61" s="131"/>
      <c r="Z61" s="131"/>
      <c r="AA61" s="131"/>
      <c r="AB61" s="131"/>
      <c r="AC61" s="131"/>
      <c r="AD61" s="131"/>
    </row>
    <row r="62" spans="1:30" ht="14.4" x14ac:dyDescent="0.55000000000000004">
      <c r="A62" s="81" t="s">
        <v>819</v>
      </c>
      <c r="B62" s="143" t="s">
        <v>817</v>
      </c>
      <c r="C62" s="78" t="s">
        <v>726</v>
      </c>
      <c r="D62" s="122" t="s">
        <v>810</v>
      </c>
      <c r="E62" s="130" t="s">
        <v>979</v>
      </c>
      <c r="F62" s="129" t="s">
        <v>820</v>
      </c>
      <c r="G62">
        <f t="shared" si="24"/>
        <v>1</v>
      </c>
      <c r="H62">
        <f t="shared" si="25"/>
        <v>0</v>
      </c>
      <c r="I62">
        <f t="shared" si="26"/>
        <v>0</v>
      </c>
      <c r="J62">
        <f t="shared" si="27"/>
        <v>0</v>
      </c>
      <c r="K62">
        <f t="shared" si="28"/>
        <v>0</v>
      </c>
      <c r="L62">
        <f t="shared" si="29"/>
        <v>0</v>
      </c>
      <c r="M62">
        <f t="shared" si="30"/>
        <v>0</v>
      </c>
      <c r="N62">
        <f t="shared" si="31"/>
        <v>0</v>
      </c>
      <c r="O62">
        <f t="shared" si="32"/>
        <v>0</v>
      </c>
      <c r="P62">
        <f t="shared" si="33"/>
        <v>0</v>
      </c>
      <c r="Q62">
        <f t="shared" si="34"/>
        <v>0</v>
      </c>
      <c r="R62">
        <f t="shared" si="35"/>
        <v>0</v>
      </c>
      <c r="S62" s="141" t="b">
        <v>1</v>
      </c>
      <c r="T62" s="141" t="b">
        <v>1</v>
      </c>
      <c r="U62" s="141" t="b">
        <v>1</v>
      </c>
      <c r="V62" s="131"/>
      <c r="W62" s="131"/>
      <c r="X62" s="131"/>
      <c r="Y62" s="131"/>
      <c r="Z62" s="131"/>
      <c r="AA62" s="131"/>
      <c r="AB62" s="131"/>
      <c r="AC62" s="131"/>
      <c r="AD62" s="131"/>
    </row>
    <row r="63" spans="1:30" ht="14.4" x14ac:dyDescent="0.55000000000000004">
      <c r="A63" s="129" t="s">
        <v>821</v>
      </c>
      <c r="B63" s="143" t="s">
        <v>817</v>
      </c>
      <c r="C63" s="78" t="s">
        <v>822</v>
      </c>
      <c r="D63" s="120" t="s">
        <v>887</v>
      </c>
      <c r="E63" s="130"/>
      <c r="F63" s="129" t="s">
        <v>820</v>
      </c>
      <c r="G63">
        <f t="shared" si="24"/>
        <v>0</v>
      </c>
      <c r="H63">
        <f t="shared" si="25"/>
        <v>0</v>
      </c>
      <c r="I63">
        <f t="shared" si="26"/>
        <v>1</v>
      </c>
      <c r="J63">
        <f t="shared" si="27"/>
        <v>0</v>
      </c>
      <c r="K63">
        <f t="shared" si="28"/>
        <v>0</v>
      </c>
      <c r="L63">
        <f t="shared" si="29"/>
        <v>0</v>
      </c>
      <c r="M63">
        <f t="shared" si="30"/>
        <v>0</v>
      </c>
      <c r="N63">
        <f t="shared" si="31"/>
        <v>0</v>
      </c>
      <c r="O63">
        <f t="shared" si="32"/>
        <v>0</v>
      </c>
      <c r="P63">
        <f t="shared" si="33"/>
        <v>0</v>
      </c>
      <c r="Q63">
        <f t="shared" si="34"/>
        <v>0</v>
      </c>
      <c r="R63">
        <f t="shared" si="35"/>
        <v>0</v>
      </c>
      <c r="S63" s="141" t="b">
        <v>0</v>
      </c>
      <c r="T63" s="141" t="b">
        <v>1</v>
      </c>
      <c r="U63" s="141" t="b">
        <v>1</v>
      </c>
      <c r="V63" s="131"/>
      <c r="W63" s="131"/>
      <c r="X63" s="131"/>
      <c r="Y63" s="131"/>
      <c r="Z63" s="131"/>
      <c r="AA63" s="131"/>
      <c r="AB63" s="131"/>
      <c r="AC63" s="131"/>
      <c r="AD63" s="131"/>
    </row>
    <row r="64" spans="1:30" ht="14.4" x14ac:dyDescent="0.55000000000000004">
      <c r="A64" s="129" t="s">
        <v>777</v>
      </c>
      <c r="B64" s="143" t="s">
        <v>775</v>
      </c>
      <c r="C64" s="78" t="s">
        <v>778</v>
      </c>
      <c r="D64" s="120" t="s">
        <v>887</v>
      </c>
      <c r="E64" s="130"/>
      <c r="F64" s="129"/>
      <c r="G64">
        <f t="shared" si="24"/>
        <v>0</v>
      </c>
      <c r="H64">
        <f t="shared" si="25"/>
        <v>0</v>
      </c>
      <c r="I64">
        <f t="shared" si="26"/>
        <v>1</v>
      </c>
      <c r="J64">
        <f t="shared" si="27"/>
        <v>0</v>
      </c>
      <c r="K64">
        <f t="shared" si="28"/>
        <v>0</v>
      </c>
      <c r="L64">
        <f t="shared" si="29"/>
        <v>0</v>
      </c>
      <c r="M64">
        <f t="shared" si="30"/>
        <v>0</v>
      </c>
      <c r="N64">
        <f t="shared" si="31"/>
        <v>0</v>
      </c>
      <c r="O64">
        <f t="shared" si="32"/>
        <v>0</v>
      </c>
      <c r="P64">
        <f t="shared" si="33"/>
        <v>0</v>
      </c>
      <c r="Q64">
        <f t="shared" si="34"/>
        <v>0</v>
      </c>
      <c r="R64">
        <f t="shared" si="35"/>
        <v>0</v>
      </c>
      <c r="S64" s="141" t="b">
        <v>0</v>
      </c>
      <c r="T64" s="141" t="b">
        <v>0</v>
      </c>
      <c r="U64" s="141" t="b">
        <v>0</v>
      </c>
      <c r="V64" s="131"/>
      <c r="W64" s="131"/>
      <c r="X64" s="131"/>
      <c r="Y64" s="131"/>
      <c r="Z64" s="131"/>
      <c r="AA64" s="131"/>
      <c r="AB64" s="131"/>
      <c r="AC64" s="131"/>
      <c r="AD64" s="131"/>
    </row>
    <row r="65" spans="1:30" ht="14.4" x14ac:dyDescent="0.55000000000000004">
      <c r="A65" s="81" t="s">
        <v>779</v>
      </c>
      <c r="B65" s="143" t="s">
        <v>775</v>
      </c>
      <c r="C65" s="78" t="s">
        <v>780</v>
      </c>
      <c r="D65" s="120" t="s">
        <v>887</v>
      </c>
      <c r="E65" s="130"/>
      <c r="F65" s="129"/>
      <c r="G65">
        <f t="shared" si="24"/>
        <v>0</v>
      </c>
      <c r="H65">
        <f t="shared" si="25"/>
        <v>0</v>
      </c>
      <c r="I65">
        <f t="shared" si="26"/>
        <v>1</v>
      </c>
      <c r="J65">
        <f t="shared" si="27"/>
        <v>0</v>
      </c>
      <c r="K65">
        <f t="shared" si="28"/>
        <v>0</v>
      </c>
      <c r="L65">
        <f t="shared" si="29"/>
        <v>0</v>
      </c>
      <c r="M65">
        <f t="shared" si="30"/>
        <v>0</v>
      </c>
      <c r="N65">
        <f t="shared" si="31"/>
        <v>0</v>
      </c>
      <c r="O65">
        <f t="shared" si="32"/>
        <v>0</v>
      </c>
      <c r="P65">
        <f t="shared" si="33"/>
        <v>0</v>
      </c>
      <c r="Q65">
        <f t="shared" si="34"/>
        <v>0</v>
      </c>
      <c r="R65">
        <f t="shared" si="35"/>
        <v>0</v>
      </c>
      <c r="S65" s="141" t="b">
        <v>0</v>
      </c>
      <c r="T65" s="141" t="b">
        <v>0</v>
      </c>
      <c r="U65" s="141" t="b">
        <v>0</v>
      </c>
      <c r="V65" s="131"/>
      <c r="W65" s="131"/>
      <c r="X65" s="131"/>
      <c r="Y65" s="131"/>
      <c r="Z65" s="131"/>
      <c r="AA65" s="131"/>
      <c r="AB65" s="131"/>
      <c r="AC65" s="131"/>
      <c r="AD65" s="131"/>
    </row>
    <row r="66" spans="1:30" ht="14.4" x14ac:dyDescent="0.55000000000000004">
      <c r="A66" s="142" t="s">
        <v>813</v>
      </c>
      <c r="B66" s="143" t="s">
        <v>1039</v>
      </c>
      <c r="C66" s="78" t="s">
        <v>806</v>
      </c>
      <c r="D66" s="120" t="s">
        <v>752</v>
      </c>
      <c r="E66" s="130" t="s">
        <v>1040</v>
      </c>
      <c r="F66" s="129" t="s">
        <v>814</v>
      </c>
      <c r="G66">
        <f t="shared" si="24"/>
        <v>0</v>
      </c>
      <c r="H66">
        <f t="shared" si="25"/>
        <v>0</v>
      </c>
      <c r="I66">
        <f t="shared" si="26"/>
        <v>0</v>
      </c>
      <c r="J66">
        <f t="shared" si="27"/>
        <v>0</v>
      </c>
      <c r="K66">
        <f t="shared" si="28"/>
        <v>0</v>
      </c>
      <c r="L66">
        <f t="shared" si="29"/>
        <v>1</v>
      </c>
      <c r="M66">
        <f t="shared" si="30"/>
        <v>0</v>
      </c>
      <c r="N66">
        <f t="shared" si="31"/>
        <v>0</v>
      </c>
      <c r="O66">
        <f t="shared" si="32"/>
        <v>0</v>
      </c>
      <c r="P66">
        <f t="shared" si="33"/>
        <v>0</v>
      </c>
      <c r="Q66">
        <f t="shared" si="34"/>
        <v>0</v>
      </c>
      <c r="R66">
        <f t="shared" si="35"/>
        <v>0</v>
      </c>
      <c r="S66" s="141" t="b">
        <v>0</v>
      </c>
      <c r="T66" s="141" t="b">
        <v>0</v>
      </c>
      <c r="U66" s="141" t="b">
        <v>0</v>
      </c>
      <c r="V66" s="131"/>
      <c r="W66" s="131"/>
      <c r="X66" s="131"/>
      <c r="Y66" s="131"/>
      <c r="Z66" s="131"/>
      <c r="AA66" s="131"/>
      <c r="AB66" s="131"/>
      <c r="AC66" s="131"/>
      <c r="AD66" s="131"/>
    </row>
    <row r="67" spans="1:30" ht="14.4" x14ac:dyDescent="0.55000000000000004">
      <c r="A67" s="81" t="s">
        <v>808</v>
      </c>
      <c r="B67" s="143" t="s">
        <v>1039</v>
      </c>
      <c r="C67" s="78" t="s">
        <v>715</v>
      </c>
      <c r="D67" s="120" t="s">
        <v>752</v>
      </c>
      <c r="E67" s="130"/>
      <c r="F67" s="129" t="s">
        <v>809</v>
      </c>
      <c r="G67">
        <f t="shared" si="24"/>
        <v>0</v>
      </c>
      <c r="H67">
        <f t="shared" si="25"/>
        <v>0</v>
      </c>
      <c r="I67">
        <f t="shared" si="26"/>
        <v>0</v>
      </c>
      <c r="J67">
        <f t="shared" si="27"/>
        <v>0</v>
      </c>
      <c r="K67">
        <f t="shared" si="28"/>
        <v>0</v>
      </c>
      <c r="L67">
        <f t="shared" si="29"/>
        <v>1</v>
      </c>
      <c r="M67">
        <f t="shared" si="30"/>
        <v>0</v>
      </c>
      <c r="N67">
        <f t="shared" si="31"/>
        <v>0</v>
      </c>
      <c r="O67">
        <f t="shared" si="32"/>
        <v>0</v>
      </c>
      <c r="P67">
        <f t="shared" si="33"/>
        <v>0</v>
      </c>
      <c r="Q67">
        <f t="shared" si="34"/>
        <v>0</v>
      </c>
      <c r="R67">
        <f t="shared" si="35"/>
        <v>0</v>
      </c>
      <c r="S67" s="141" t="b">
        <v>1</v>
      </c>
      <c r="T67" s="141" t="b">
        <v>0</v>
      </c>
      <c r="U67" s="141" t="b">
        <v>0</v>
      </c>
      <c r="V67" s="131"/>
      <c r="W67" s="131"/>
      <c r="X67" s="131"/>
      <c r="Y67" s="131"/>
      <c r="Z67" s="131"/>
      <c r="AA67" s="131"/>
      <c r="AB67" s="131"/>
      <c r="AC67" s="131"/>
      <c r="AD67" s="131"/>
    </row>
    <row r="68" spans="1:30" ht="14.4" x14ac:dyDescent="0.55000000000000004">
      <c r="A68" s="81" t="s">
        <v>811</v>
      </c>
      <c r="B68" s="143" t="s">
        <v>1039</v>
      </c>
      <c r="C68" s="78" t="s">
        <v>812</v>
      </c>
      <c r="D68" s="120" t="s">
        <v>810</v>
      </c>
      <c r="E68" s="130" t="s">
        <v>1040</v>
      </c>
      <c r="F68" s="129"/>
      <c r="G68">
        <f t="shared" si="24"/>
        <v>1</v>
      </c>
      <c r="H68">
        <f t="shared" si="25"/>
        <v>0</v>
      </c>
      <c r="I68">
        <f t="shared" si="26"/>
        <v>0</v>
      </c>
      <c r="J68">
        <f t="shared" si="27"/>
        <v>0</v>
      </c>
      <c r="K68">
        <f t="shared" si="28"/>
        <v>0</v>
      </c>
      <c r="L68">
        <f t="shared" si="29"/>
        <v>0</v>
      </c>
      <c r="M68">
        <f t="shared" si="30"/>
        <v>0</v>
      </c>
      <c r="N68">
        <f t="shared" si="31"/>
        <v>0</v>
      </c>
      <c r="O68">
        <f t="shared" si="32"/>
        <v>0</v>
      </c>
      <c r="P68">
        <f t="shared" si="33"/>
        <v>0</v>
      </c>
      <c r="Q68">
        <f t="shared" si="34"/>
        <v>0</v>
      </c>
      <c r="R68">
        <f t="shared" si="35"/>
        <v>0</v>
      </c>
      <c r="S68" s="141" t="b">
        <v>1</v>
      </c>
      <c r="T68" s="141" t="b">
        <v>1</v>
      </c>
      <c r="U68" s="141" t="b">
        <v>1</v>
      </c>
      <c r="V68" s="131"/>
      <c r="W68" s="131"/>
      <c r="X68" s="131"/>
      <c r="Y68" s="131"/>
      <c r="Z68" s="131"/>
      <c r="AA68" s="131"/>
      <c r="AB68" s="131"/>
      <c r="AC68" s="131"/>
      <c r="AD68" s="131"/>
    </row>
    <row r="69" spans="1:30" ht="14.4" x14ac:dyDescent="0.55000000000000004">
      <c r="A69" s="81" t="s">
        <v>753</v>
      </c>
      <c r="B69" s="143" t="s">
        <v>751</v>
      </c>
      <c r="C69" s="78" t="s">
        <v>795</v>
      </c>
      <c r="D69" s="120" t="s">
        <v>752</v>
      </c>
      <c r="E69" s="130"/>
      <c r="F69" s="129" t="s">
        <v>1041</v>
      </c>
      <c r="G69">
        <f t="shared" si="24"/>
        <v>0</v>
      </c>
      <c r="H69">
        <f t="shared" si="25"/>
        <v>0</v>
      </c>
      <c r="I69">
        <f t="shared" si="26"/>
        <v>0</v>
      </c>
      <c r="J69">
        <f t="shared" si="27"/>
        <v>0</v>
      </c>
      <c r="K69">
        <f t="shared" si="28"/>
        <v>0</v>
      </c>
      <c r="L69">
        <f t="shared" si="29"/>
        <v>1</v>
      </c>
      <c r="M69">
        <f t="shared" si="30"/>
        <v>0</v>
      </c>
      <c r="N69">
        <f t="shared" si="31"/>
        <v>0</v>
      </c>
      <c r="O69">
        <f t="shared" si="32"/>
        <v>0</v>
      </c>
      <c r="P69">
        <f t="shared" si="33"/>
        <v>0</v>
      </c>
      <c r="Q69">
        <f t="shared" si="34"/>
        <v>0</v>
      </c>
      <c r="R69">
        <f t="shared" si="35"/>
        <v>0</v>
      </c>
      <c r="S69" s="141" t="b">
        <v>1</v>
      </c>
      <c r="T69" s="141" t="b">
        <v>1</v>
      </c>
      <c r="U69" s="141" t="b">
        <v>1</v>
      </c>
      <c r="V69" s="131"/>
      <c r="W69" s="131"/>
      <c r="X69" s="131"/>
      <c r="Y69" s="131"/>
      <c r="Z69" s="131"/>
      <c r="AA69" s="131"/>
      <c r="AB69" s="131"/>
      <c r="AC69" s="131"/>
      <c r="AD69" s="131"/>
    </row>
    <row r="70" spans="1:30" ht="14.4" x14ac:dyDescent="0.55000000000000004">
      <c r="A70" s="81" t="s">
        <v>764</v>
      </c>
      <c r="B70" s="143" t="s">
        <v>751</v>
      </c>
      <c r="C70" s="78" t="s">
        <v>1042</v>
      </c>
      <c r="D70" s="120" t="s">
        <v>887</v>
      </c>
      <c r="E70" s="130"/>
      <c r="F70" s="129" t="s">
        <v>1041</v>
      </c>
      <c r="G70">
        <f t="shared" si="24"/>
        <v>0</v>
      </c>
      <c r="H70">
        <f t="shared" si="25"/>
        <v>0</v>
      </c>
      <c r="I70">
        <f t="shared" si="26"/>
        <v>1</v>
      </c>
      <c r="J70">
        <f t="shared" si="27"/>
        <v>0</v>
      </c>
      <c r="K70">
        <f t="shared" si="28"/>
        <v>0</v>
      </c>
      <c r="L70">
        <f t="shared" si="29"/>
        <v>0</v>
      </c>
      <c r="M70">
        <f t="shared" si="30"/>
        <v>0</v>
      </c>
      <c r="N70">
        <f t="shared" si="31"/>
        <v>0</v>
      </c>
      <c r="O70">
        <f t="shared" si="32"/>
        <v>0</v>
      </c>
      <c r="P70">
        <f t="shared" si="33"/>
        <v>0</v>
      </c>
      <c r="Q70">
        <f t="shared" si="34"/>
        <v>0</v>
      </c>
      <c r="R70">
        <f t="shared" si="35"/>
        <v>0</v>
      </c>
      <c r="S70" s="141" t="b">
        <v>0</v>
      </c>
      <c r="T70" s="141" t="b">
        <v>1</v>
      </c>
      <c r="U70" s="141" t="b">
        <v>1</v>
      </c>
      <c r="V70" s="131"/>
      <c r="W70" s="131"/>
      <c r="X70" s="131"/>
      <c r="Y70" s="131"/>
      <c r="Z70" s="131"/>
      <c r="AA70" s="131"/>
      <c r="AB70" s="131"/>
      <c r="AC70" s="131"/>
      <c r="AD70" s="131"/>
    </row>
    <row r="71" spans="1:30" ht="14.4" x14ac:dyDescent="0.55000000000000004">
      <c r="A71" s="182" t="s">
        <v>835</v>
      </c>
      <c r="B71" s="183" t="s">
        <v>834</v>
      </c>
      <c r="C71" s="184" t="s">
        <v>836</v>
      </c>
      <c r="D71" s="185" t="s">
        <v>752</v>
      </c>
      <c r="E71" s="186"/>
      <c r="F71" s="187" t="s">
        <v>837</v>
      </c>
      <c r="G71" s="188">
        <f t="shared" si="24"/>
        <v>0</v>
      </c>
      <c r="H71" s="188">
        <f t="shared" si="25"/>
        <v>0</v>
      </c>
      <c r="I71" s="188">
        <f t="shared" si="26"/>
        <v>0</v>
      </c>
      <c r="J71" s="188">
        <f t="shared" si="27"/>
        <v>0</v>
      </c>
      <c r="K71" s="188">
        <f t="shared" si="28"/>
        <v>0</v>
      </c>
      <c r="L71" s="188">
        <f t="shared" si="29"/>
        <v>1</v>
      </c>
      <c r="M71" s="188">
        <f t="shared" si="30"/>
        <v>0</v>
      </c>
      <c r="N71" s="188">
        <f t="shared" si="31"/>
        <v>0</v>
      </c>
      <c r="O71" s="188">
        <f t="shared" si="32"/>
        <v>0</v>
      </c>
      <c r="P71" s="188">
        <f t="shared" si="33"/>
        <v>0</v>
      </c>
      <c r="Q71" s="188">
        <f t="shared" si="34"/>
        <v>0</v>
      </c>
      <c r="R71" s="188">
        <f t="shared" si="35"/>
        <v>0</v>
      </c>
      <c r="S71" s="189" t="b">
        <v>1</v>
      </c>
      <c r="T71" s="189" t="b">
        <v>0</v>
      </c>
      <c r="U71" s="189" t="b">
        <v>0</v>
      </c>
      <c r="V71" s="131"/>
      <c r="W71" s="131"/>
      <c r="X71" s="131"/>
      <c r="Y71" s="131"/>
      <c r="Z71" s="131"/>
      <c r="AA71" s="131"/>
      <c r="AB71" s="131"/>
      <c r="AC71" s="131"/>
      <c r="AD71" s="131"/>
    </row>
    <row r="72" spans="1:30" ht="14.4" x14ac:dyDescent="0.55000000000000004">
      <c r="A72" s="187" t="s">
        <v>838</v>
      </c>
      <c r="B72" s="183" t="s">
        <v>834</v>
      </c>
      <c r="C72" s="184" t="s">
        <v>1043</v>
      </c>
      <c r="D72" s="185" t="s">
        <v>752</v>
      </c>
      <c r="E72" s="186"/>
      <c r="F72" s="187" t="s">
        <v>839</v>
      </c>
      <c r="G72" s="188">
        <f t="shared" si="24"/>
        <v>0</v>
      </c>
      <c r="H72" s="188">
        <f t="shared" si="25"/>
        <v>0</v>
      </c>
      <c r="I72" s="188">
        <f t="shared" si="26"/>
        <v>0</v>
      </c>
      <c r="J72" s="188">
        <f t="shared" si="27"/>
        <v>0</v>
      </c>
      <c r="K72" s="188">
        <f t="shared" si="28"/>
        <v>0</v>
      </c>
      <c r="L72" s="188">
        <f t="shared" si="29"/>
        <v>1</v>
      </c>
      <c r="M72" s="188">
        <f t="shared" si="30"/>
        <v>0</v>
      </c>
      <c r="N72" s="188">
        <f t="shared" si="31"/>
        <v>0</v>
      </c>
      <c r="O72" s="188">
        <f t="shared" si="32"/>
        <v>0</v>
      </c>
      <c r="P72" s="188">
        <f t="shared" si="33"/>
        <v>0</v>
      </c>
      <c r="Q72" s="188">
        <f t="shared" si="34"/>
        <v>0</v>
      </c>
      <c r="R72" s="188">
        <f t="shared" si="35"/>
        <v>0</v>
      </c>
      <c r="S72" s="189" t="b">
        <v>1</v>
      </c>
      <c r="T72" s="189" t="b">
        <v>0</v>
      </c>
      <c r="U72" s="189" t="b">
        <v>1</v>
      </c>
      <c r="V72" s="131"/>
      <c r="W72" s="131"/>
      <c r="X72" s="131"/>
      <c r="Y72" s="131"/>
      <c r="Z72" s="131"/>
      <c r="AA72" s="131"/>
      <c r="AB72" s="131"/>
      <c r="AC72" s="131"/>
      <c r="AD72" s="131"/>
    </row>
    <row r="73" spans="1:30" ht="14.4" x14ac:dyDescent="0.55000000000000004">
      <c r="A73" s="182" t="s">
        <v>840</v>
      </c>
      <c r="B73" s="183" t="s">
        <v>834</v>
      </c>
      <c r="C73" s="184" t="s">
        <v>1044</v>
      </c>
      <c r="D73" s="185" t="s">
        <v>752</v>
      </c>
      <c r="E73" s="186"/>
      <c r="F73" s="187" t="s">
        <v>839</v>
      </c>
      <c r="G73" s="188">
        <f t="shared" si="24"/>
        <v>0</v>
      </c>
      <c r="H73" s="188">
        <f t="shared" si="25"/>
        <v>0</v>
      </c>
      <c r="I73" s="188">
        <f t="shared" si="26"/>
        <v>0</v>
      </c>
      <c r="J73" s="188">
        <f t="shared" si="27"/>
        <v>0</v>
      </c>
      <c r="K73" s="188">
        <f t="shared" si="28"/>
        <v>0</v>
      </c>
      <c r="L73" s="188">
        <f t="shared" si="29"/>
        <v>1</v>
      </c>
      <c r="M73" s="188">
        <f t="shared" si="30"/>
        <v>0</v>
      </c>
      <c r="N73" s="188">
        <f t="shared" si="31"/>
        <v>0</v>
      </c>
      <c r="O73" s="188">
        <f t="shared" si="32"/>
        <v>0</v>
      </c>
      <c r="P73" s="188">
        <f t="shared" si="33"/>
        <v>0</v>
      </c>
      <c r="Q73" s="188">
        <f t="shared" si="34"/>
        <v>0</v>
      </c>
      <c r="R73" s="188">
        <f t="shared" si="35"/>
        <v>0</v>
      </c>
      <c r="S73" s="189" t="b">
        <v>0</v>
      </c>
      <c r="T73" s="189" t="b">
        <v>0</v>
      </c>
      <c r="U73" s="189" t="b">
        <v>0</v>
      </c>
      <c r="V73" s="131"/>
      <c r="W73" s="131"/>
      <c r="X73" s="131"/>
      <c r="Y73" s="131"/>
      <c r="Z73" s="131"/>
      <c r="AA73" s="131"/>
      <c r="AB73" s="131"/>
      <c r="AC73" s="131"/>
      <c r="AD73" s="131"/>
    </row>
    <row r="74" spans="1:30" ht="14.4" x14ac:dyDescent="0.55000000000000004">
      <c r="A74" s="187" t="s">
        <v>844</v>
      </c>
      <c r="B74" s="183" t="s">
        <v>834</v>
      </c>
      <c r="C74" s="184" t="s">
        <v>726</v>
      </c>
      <c r="D74" s="190" t="s">
        <v>959</v>
      </c>
      <c r="E74" s="186"/>
      <c r="F74" s="187" t="s">
        <v>845</v>
      </c>
      <c r="G74" s="188">
        <f t="shared" si="24"/>
        <v>0</v>
      </c>
      <c r="H74" s="188">
        <f t="shared" si="25"/>
        <v>0</v>
      </c>
      <c r="I74" s="188">
        <f t="shared" si="26"/>
        <v>0</v>
      </c>
      <c r="J74" s="188">
        <f t="shared" si="27"/>
        <v>0</v>
      </c>
      <c r="K74" s="188">
        <f t="shared" si="28"/>
        <v>1</v>
      </c>
      <c r="L74" s="188">
        <f t="shared" si="29"/>
        <v>0</v>
      </c>
      <c r="M74" s="188">
        <f t="shared" si="30"/>
        <v>0</v>
      </c>
      <c r="N74" s="188">
        <f t="shared" si="31"/>
        <v>0</v>
      </c>
      <c r="O74" s="188">
        <f t="shared" si="32"/>
        <v>0</v>
      </c>
      <c r="P74" s="188">
        <f t="shared" si="33"/>
        <v>0</v>
      </c>
      <c r="Q74" s="188">
        <f t="shared" si="34"/>
        <v>0</v>
      </c>
      <c r="R74" s="188">
        <f t="shared" si="35"/>
        <v>0</v>
      </c>
      <c r="S74" s="189" t="b">
        <v>1</v>
      </c>
      <c r="T74" s="189" t="b">
        <v>0</v>
      </c>
      <c r="U74" s="189" t="b">
        <v>0</v>
      </c>
      <c r="V74" s="131"/>
      <c r="W74" s="131"/>
      <c r="X74" s="131"/>
      <c r="Y74" s="131"/>
      <c r="Z74" s="131"/>
      <c r="AA74" s="131"/>
      <c r="AB74" s="131"/>
      <c r="AC74" s="131"/>
      <c r="AD74" s="131"/>
    </row>
    <row r="75" spans="1:30" ht="14.4" x14ac:dyDescent="0.55000000000000004">
      <c r="A75" s="182" t="s">
        <v>841</v>
      </c>
      <c r="B75" s="183" t="s">
        <v>834</v>
      </c>
      <c r="C75" s="184" t="s">
        <v>154</v>
      </c>
      <c r="D75" s="185" t="s">
        <v>810</v>
      </c>
      <c r="E75" s="186"/>
      <c r="F75" s="187" t="s">
        <v>842</v>
      </c>
      <c r="G75" s="188">
        <f t="shared" si="24"/>
        <v>1</v>
      </c>
      <c r="H75" s="188">
        <f t="shared" si="25"/>
        <v>0</v>
      </c>
      <c r="I75" s="188">
        <f t="shared" si="26"/>
        <v>0</v>
      </c>
      <c r="J75" s="188">
        <f t="shared" si="27"/>
        <v>0</v>
      </c>
      <c r="K75" s="188">
        <f t="shared" si="28"/>
        <v>0</v>
      </c>
      <c r="L75" s="188">
        <f t="shared" si="29"/>
        <v>0</v>
      </c>
      <c r="M75" s="188">
        <f t="shared" si="30"/>
        <v>0</v>
      </c>
      <c r="N75" s="188">
        <f t="shared" si="31"/>
        <v>0</v>
      </c>
      <c r="O75" s="188">
        <f t="shared" si="32"/>
        <v>0</v>
      </c>
      <c r="P75" s="188">
        <f t="shared" si="33"/>
        <v>0</v>
      </c>
      <c r="Q75" s="188">
        <f t="shared" si="34"/>
        <v>0</v>
      </c>
      <c r="R75" s="188">
        <f t="shared" si="35"/>
        <v>0</v>
      </c>
      <c r="S75" s="189" t="b">
        <v>0</v>
      </c>
      <c r="T75" s="189" t="b">
        <v>0</v>
      </c>
      <c r="U75" s="189" t="b">
        <v>0</v>
      </c>
      <c r="V75" s="131"/>
      <c r="W75" s="131"/>
      <c r="X75" s="131"/>
      <c r="Y75" s="131"/>
      <c r="Z75" s="131"/>
      <c r="AA75" s="131"/>
      <c r="AB75" s="131"/>
      <c r="AC75" s="131"/>
      <c r="AD75" s="131"/>
    </row>
    <row r="76" spans="1:30" ht="14.4" x14ac:dyDescent="0.55000000000000004">
      <c r="A76" s="182" t="s">
        <v>1045</v>
      </c>
      <c r="B76" s="183" t="s">
        <v>834</v>
      </c>
      <c r="C76" s="184" t="s">
        <v>1046</v>
      </c>
      <c r="D76" s="185" t="s">
        <v>810</v>
      </c>
      <c r="E76" s="186"/>
      <c r="F76" s="187" t="s">
        <v>1047</v>
      </c>
      <c r="G76" s="188">
        <f t="shared" si="24"/>
        <v>1</v>
      </c>
      <c r="H76" s="188">
        <f t="shared" si="25"/>
        <v>0</v>
      </c>
      <c r="I76" s="188">
        <f t="shared" si="26"/>
        <v>0</v>
      </c>
      <c r="J76" s="188">
        <f t="shared" si="27"/>
        <v>0</v>
      </c>
      <c r="K76" s="188">
        <f t="shared" si="28"/>
        <v>0</v>
      </c>
      <c r="L76" s="188">
        <f t="shared" si="29"/>
        <v>0</v>
      </c>
      <c r="M76" s="188">
        <f t="shared" si="30"/>
        <v>0</v>
      </c>
      <c r="N76" s="188">
        <f t="shared" si="31"/>
        <v>0</v>
      </c>
      <c r="O76" s="188">
        <f t="shared" si="32"/>
        <v>0</v>
      </c>
      <c r="P76" s="188">
        <f t="shared" si="33"/>
        <v>0</v>
      </c>
      <c r="Q76" s="188">
        <f t="shared" si="34"/>
        <v>0</v>
      </c>
      <c r="R76" s="188">
        <f t="shared" si="35"/>
        <v>0</v>
      </c>
      <c r="S76" s="189" t="b">
        <v>1</v>
      </c>
      <c r="T76" s="189" t="b">
        <v>0</v>
      </c>
      <c r="U76" s="189" t="b">
        <v>0</v>
      </c>
      <c r="V76" s="131"/>
      <c r="W76" s="131"/>
      <c r="X76" s="131"/>
      <c r="Y76" s="131"/>
      <c r="Z76" s="131"/>
      <c r="AA76" s="131"/>
      <c r="AB76" s="131"/>
      <c r="AC76" s="131"/>
      <c r="AD76" s="131"/>
    </row>
    <row r="77" spans="1:30" ht="14.4" x14ac:dyDescent="0.55000000000000004">
      <c r="A77" s="129" t="s">
        <v>1048</v>
      </c>
      <c r="B77" s="148" t="s">
        <v>1049</v>
      </c>
      <c r="C77" s="51" t="s">
        <v>1050</v>
      </c>
      <c r="D77" s="122" t="s">
        <v>749</v>
      </c>
      <c r="E77" s="130"/>
      <c r="F77" s="129"/>
      <c r="G77">
        <f t="shared" si="24"/>
        <v>0</v>
      </c>
      <c r="H77">
        <f t="shared" si="25"/>
        <v>1</v>
      </c>
      <c r="I77">
        <f t="shared" si="26"/>
        <v>0</v>
      </c>
      <c r="J77">
        <f t="shared" si="27"/>
        <v>0</v>
      </c>
      <c r="K77">
        <f t="shared" si="28"/>
        <v>0</v>
      </c>
      <c r="L77">
        <f t="shared" si="29"/>
        <v>0</v>
      </c>
      <c r="M77">
        <f t="shared" si="30"/>
        <v>0</v>
      </c>
      <c r="N77">
        <f t="shared" si="31"/>
        <v>0</v>
      </c>
      <c r="O77">
        <f t="shared" si="32"/>
        <v>0</v>
      </c>
      <c r="P77">
        <f t="shared" si="33"/>
        <v>0</v>
      </c>
      <c r="Q77">
        <f t="shared" si="34"/>
        <v>0</v>
      </c>
      <c r="R77">
        <f t="shared" si="35"/>
        <v>0</v>
      </c>
      <c r="S77" s="141" t="b">
        <v>1</v>
      </c>
      <c r="T77" s="141" t="b">
        <v>1</v>
      </c>
      <c r="U77" s="141" t="b">
        <v>1</v>
      </c>
      <c r="V77" s="131"/>
      <c r="W77" s="131"/>
      <c r="X77" s="131"/>
      <c r="Y77" s="131"/>
      <c r="Z77" s="131"/>
      <c r="AA77" s="131"/>
      <c r="AB77" s="131"/>
      <c r="AC77" s="131"/>
      <c r="AD77" s="131"/>
    </row>
    <row r="78" spans="1:30" ht="14.4" x14ac:dyDescent="0.55000000000000004">
      <c r="A78" s="129" t="s">
        <v>1051</v>
      </c>
      <c r="B78" s="148" t="s">
        <v>1049</v>
      </c>
      <c r="C78" s="51" t="s">
        <v>1052</v>
      </c>
      <c r="D78" s="122" t="s">
        <v>961</v>
      </c>
      <c r="E78" s="130"/>
      <c r="F78" s="129" t="s">
        <v>1053</v>
      </c>
      <c r="G78">
        <f t="shared" si="24"/>
        <v>0</v>
      </c>
      <c r="H78">
        <f t="shared" si="25"/>
        <v>0</v>
      </c>
      <c r="I78">
        <f t="shared" si="26"/>
        <v>0</v>
      </c>
      <c r="J78">
        <f t="shared" si="27"/>
        <v>0</v>
      </c>
      <c r="K78">
        <f t="shared" si="28"/>
        <v>0</v>
      </c>
      <c r="L78">
        <f t="shared" si="29"/>
        <v>0</v>
      </c>
      <c r="M78">
        <f t="shared" si="30"/>
        <v>0</v>
      </c>
      <c r="N78">
        <f t="shared" si="31"/>
        <v>1</v>
      </c>
      <c r="O78">
        <f t="shared" si="32"/>
        <v>0</v>
      </c>
      <c r="P78">
        <f t="shared" si="33"/>
        <v>0</v>
      </c>
      <c r="Q78">
        <f t="shared" si="34"/>
        <v>0</v>
      </c>
      <c r="R78">
        <f t="shared" si="35"/>
        <v>0</v>
      </c>
      <c r="S78" s="141" t="b">
        <v>1</v>
      </c>
      <c r="T78" s="141" t="b">
        <v>1</v>
      </c>
      <c r="U78" s="141" t="b">
        <v>0</v>
      </c>
      <c r="V78" s="131"/>
      <c r="W78" s="131"/>
      <c r="X78" s="131"/>
      <c r="Y78" s="131"/>
      <c r="Z78" s="131"/>
      <c r="AA78" s="131"/>
      <c r="AB78" s="131"/>
      <c r="AC78" s="131"/>
      <c r="AD78" s="131"/>
    </row>
    <row r="79" spans="1:30" ht="14.4" x14ac:dyDescent="0.55000000000000004">
      <c r="A79" s="129" t="s">
        <v>1054</v>
      </c>
      <c r="B79" s="148" t="s">
        <v>1049</v>
      </c>
      <c r="C79" s="51" t="s">
        <v>1055</v>
      </c>
      <c r="D79" s="122" t="s">
        <v>961</v>
      </c>
      <c r="E79" s="130"/>
      <c r="F79" s="129" t="s">
        <v>1056</v>
      </c>
      <c r="G79">
        <f t="shared" si="24"/>
        <v>0</v>
      </c>
      <c r="H79">
        <f t="shared" si="25"/>
        <v>0</v>
      </c>
      <c r="I79">
        <f t="shared" si="26"/>
        <v>0</v>
      </c>
      <c r="J79">
        <f t="shared" si="27"/>
        <v>0</v>
      </c>
      <c r="K79">
        <f t="shared" si="28"/>
        <v>0</v>
      </c>
      <c r="L79">
        <f t="shared" si="29"/>
        <v>0</v>
      </c>
      <c r="M79">
        <f t="shared" si="30"/>
        <v>0</v>
      </c>
      <c r="N79">
        <f t="shared" si="31"/>
        <v>1</v>
      </c>
      <c r="O79">
        <f t="shared" si="32"/>
        <v>0</v>
      </c>
      <c r="P79">
        <f t="shared" si="33"/>
        <v>0</v>
      </c>
      <c r="Q79">
        <f t="shared" si="34"/>
        <v>0</v>
      </c>
      <c r="R79">
        <f t="shared" si="35"/>
        <v>0</v>
      </c>
      <c r="S79" s="141" t="b">
        <v>1</v>
      </c>
      <c r="T79" s="141" t="b">
        <v>1</v>
      </c>
      <c r="U79" s="141" t="b">
        <v>1</v>
      </c>
      <c r="V79" s="131"/>
      <c r="W79" s="131"/>
      <c r="X79" s="131"/>
      <c r="Y79" s="131"/>
      <c r="Z79" s="131"/>
      <c r="AA79" s="131"/>
      <c r="AB79" s="131"/>
      <c r="AC79" s="131"/>
      <c r="AD79" s="131"/>
    </row>
    <row r="80" spans="1:30" ht="14.4" x14ac:dyDescent="0.55000000000000004">
      <c r="A80" s="129" t="s">
        <v>1057</v>
      </c>
      <c r="B80" s="148" t="s">
        <v>1049</v>
      </c>
      <c r="C80" s="51" t="s">
        <v>1058</v>
      </c>
      <c r="D80" s="122" t="s">
        <v>961</v>
      </c>
      <c r="E80" s="130"/>
      <c r="F80" s="129" t="s">
        <v>1056</v>
      </c>
      <c r="S80" s="141" t="b">
        <v>1</v>
      </c>
      <c r="T80" s="141" t="b">
        <v>1</v>
      </c>
      <c r="U80" s="141" t="b">
        <v>1</v>
      </c>
      <c r="V80" s="131"/>
      <c r="W80" s="131"/>
      <c r="X80" s="131"/>
      <c r="Y80" s="131"/>
      <c r="Z80" s="131"/>
      <c r="AA80" s="131"/>
      <c r="AB80" s="131"/>
      <c r="AC80" s="131"/>
      <c r="AD80" s="131"/>
    </row>
    <row r="81" spans="1:30" ht="14.4" x14ac:dyDescent="0.55000000000000004">
      <c r="A81" s="81" t="s">
        <v>921</v>
      </c>
      <c r="B81" s="155" t="s">
        <v>920</v>
      </c>
      <c r="C81" s="78" t="s">
        <v>922</v>
      </c>
      <c r="D81" s="130" t="s">
        <v>752</v>
      </c>
      <c r="E81" s="130"/>
      <c r="F81" s="129"/>
      <c r="G81">
        <f t="shared" si="24"/>
        <v>0</v>
      </c>
      <c r="H81">
        <f t="shared" si="25"/>
        <v>0</v>
      </c>
      <c r="I81">
        <f t="shared" si="26"/>
        <v>0</v>
      </c>
      <c r="J81">
        <f t="shared" si="27"/>
        <v>0</v>
      </c>
      <c r="K81">
        <f t="shared" si="28"/>
        <v>0</v>
      </c>
      <c r="L81">
        <f t="shared" si="29"/>
        <v>1</v>
      </c>
      <c r="M81">
        <f t="shared" si="30"/>
        <v>0</v>
      </c>
      <c r="N81">
        <f t="shared" si="31"/>
        <v>0</v>
      </c>
      <c r="O81">
        <f t="shared" si="32"/>
        <v>0</v>
      </c>
      <c r="P81">
        <f t="shared" si="33"/>
        <v>0</v>
      </c>
      <c r="Q81">
        <f t="shared" si="34"/>
        <v>0</v>
      </c>
      <c r="R81">
        <f t="shared" si="35"/>
        <v>0</v>
      </c>
      <c r="S81" s="141" t="b">
        <v>1</v>
      </c>
      <c r="T81" s="141" t="b">
        <v>1</v>
      </c>
      <c r="U81" s="141" t="b">
        <v>1</v>
      </c>
      <c r="V81" s="131"/>
      <c r="W81" s="131"/>
      <c r="X81" s="131"/>
      <c r="Y81" s="131"/>
      <c r="Z81" s="131"/>
      <c r="AA81" s="131"/>
      <c r="AB81" s="131"/>
      <c r="AC81" s="131"/>
      <c r="AD81" s="131"/>
    </row>
    <row r="82" spans="1:30" ht="14.4" x14ac:dyDescent="0.55000000000000004">
      <c r="A82" s="77" t="s">
        <v>767</v>
      </c>
      <c r="B82" s="146" t="s">
        <v>765</v>
      </c>
      <c r="C82" s="78" t="s">
        <v>768</v>
      </c>
      <c r="D82" s="120" t="s">
        <v>810</v>
      </c>
      <c r="E82" s="130"/>
      <c r="F82" s="129" t="s">
        <v>1059</v>
      </c>
      <c r="G82">
        <f t="shared" si="24"/>
        <v>1</v>
      </c>
      <c r="H82">
        <f t="shared" si="25"/>
        <v>0</v>
      </c>
      <c r="I82">
        <f t="shared" si="26"/>
        <v>0</v>
      </c>
      <c r="J82">
        <f t="shared" si="27"/>
        <v>0</v>
      </c>
      <c r="K82">
        <f t="shared" si="28"/>
        <v>0</v>
      </c>
      <c r="L82">
        <f t="shared" si="29"/>
        <v>0</v>
      </c>
      <c r="M82">
        <f t="shared" si="30"/>
        <v>0</v>
      </c>
      <c r="N82">
        <f t="shared" si="31"/>
        <v>0</v>
      </c>
      <c r="O82">
        <f t="shared" si="32"/>
        <v>0</v>
      </c>
      <c r="P82">
        <f t="shared" si="33"/>
        <v>0</v>
      </c>
      <c r="Q82">
        <f t="shared" si="34"/>
        <v>0</v>
      </c>
      <c r="R82">
        <f t="shared" si="35"/>
        <v>0</v>
      </c>
      <c r="S82" s="141" t="b">
        <v>1</v>
      </c>
      <c r="T82" s="141" t="b">
        <v>0</v>
      </c>
      <c r="U82" s="141" t="b">
        <v>0</v>
      </c>
      <c r="V82" s="131"/>
      <c r="W82" s="131"/>
      <c r="X82" s="131"/>
      <c r="Y82" s="131"/>
      <c r="Z82" s="131"/>
      <c r="AA82" s="131"/>
      <c r="AB82" s="131"/>
      <c r="AC82" s="131"/>
      <c r="AD82" s="131"/>
    </row>
    <row r="83" spans="1:30" ht="14.4" x14ac:dyDescent="0.55000000000000004">
      <c r="A83" s="77" t="s">
        <v>769</v>
      </c>
      <c r="B83" s="147" t="s">
        <v>765</v>
      </c>
      <c r="C83" s="78" t="s">
        <v>770</v>
      </c>
      <c r="D83" s="120" t="s">
        <v>787</v>
      </c>
      <c r="E83" s="130"/>
      <c r="F83" s="129" t="s">
        <v>1059</v>
      </c>
      <c r="G83">
        <f t="shared" si="24"/>
        <v>0</v>
      </c>
      <c r="H83">
        <f t="shared" si="25"/>
        <v>0</v>
      </c>
      <c r="I83">
        <f t="shared" si="26"/>
        <v>0</v>
      </c>
      <c r="J83">
        <f t="shared" si="27"/>
        <v>1</v>
      </c>
      <c r="K83">
        <f t="shared" si="28"/>
        <v>0</v>
      </c>
      <c r="L83">
        <f t="shared" si="29"/>
        <v>0</v>
      </c>
      <c r="M83">
        <f t="shared" si="30"/>
        <v>0</v>
      </c>
      <c r="N83">
        <f t="shared" si="31"/>
        <v>0</v>
      </c>
      <c r="O83">
        <f t="shared" si="32"/>
        <v>0</v>
      </c>
      <c r="P83">
        <f t="shared" si="33"/>
        <v>0</v>
      </c>
      <c r="Q83">
        <f t="shared" si="34"/>
        <v>0</v>
      </c>
      <c r="R83">
        <f t="shared" si="35"/>
        <v>0</v>
      </c>
      <c r="S83" s="141" t="b">
        <v>1</v>
      </c>
      <c r="T83" s="141" t="b">
        <v>0</v>
      </c>
      <c r="U83" s="141" t="b">
        <v>0</v>
      </c>
      <c r="V83" s="131"/>
      <c r="W83" s="131"/>
      <c r="X83" s="131"/>
      <c r="Y83" s="131"/>
      <c r="Z83" s="131"/>
      <c r="AA83" s="131"/>
      <c r="AB83" s="131"/>
      <c r="AC83" s="131"/>
      <c r="AD83" s="131"/>
    </row>
    <row r="84" spans="1:30" ht="14.4" x14ac:dyDescent="0.55000000000000004">
      <c r="A84" s="77" t="s">
        <v>916</v>
      </c>
      <c r="B84" s="147" t="s">
        <v>505</v>
      </c>
      <c r="C84" s="78" t="s">
        <v>795</v>
      </c>
      <c r="D84" s="120" t="s">
        <v>959</v>
      </c>
      <c r="E84" s="130" t="s">
        <v>991</v>
      </c>
      <c r="F84" s="129"/>
      <c r="G84">
        <f t="shared" si="24"/>
        <v>0</v>
      </c>
      <c r="H84">
        <f t="shared" si="25"/>
        <v>0</v>
      </c>
      <c r="I84">
        <f t="shared" si="26"/>
        <v>0</v>
      </c>
      <c r="J84">
        <f t="shared" si="27"/>
        <v>0</v>
      </c>
      <c r="K84">
        <f t="shared" si="28"/>
        <v>1</v>
      </c>
      <c r="L84">
        <f t="shared" si="29"/>
        <v>0</v>
      </c>
      <c r="M84">
        <f t="shared" si="30"/>
        <v>0</v>
      </c>
      <c r="N84">
        <f t="shared" si="31"/>
        <v>0</v>
      </c>
      <c r="O84">
        <f t="shared" si="32"/>
        <v>0</v>
      </c>
      <c r="P84">
        <f t="shared" si="33"/>
        <v>0</v>
      </c>
      <c r="Q84">
        <f t="shared" si="34"/>
        <v>0</v>
      </c>
      <c r="R84">
        <f t="shared" si="35"/>
        <v>0</v>
      </c>
      <c r="S84" s="141" t="b">
        <v>1</v>
      </c>
      <c r="T84" s="141" t="b">
        <v>1</v>
      </c>
      <c r="U84" s="141" t="b">
        <v>1</v>
      </c>
      <c r="V84" s="131"/>
      <c r="W84" s="131"/>
      <c r="X84" s="131"/>
      <c r="Y84" s="131"/>
      <c r="Z84" s="131"/>
      <c r="AA84" s="131"/>
      <c r="AB84" s="131"/>
      <c r="AC84" s="131"/>
      <c r="AD84" s="131"/>
    </row>
    <row r="85" spans="1:30" ht="14.4" x14ac:dyDescent="0.55000000000000004">
      <c r="A85" s="77" t="s">
        <v>913</v>
      </c>
      <c r="B85" s="147" t="s">
        <v>505</v>
      </c>
      <c r="C85" s="78" t="s">
        <v>1060</v>
      </c>
      <c r="D85" s="82" t="s">
        <v>810</v>
      </c>
      <c r="E85" s="76"/>
      <c r="F85" s="50" t="s">
        <v>754</v>
      </c>
      <c r="G85">
        <f t="shared" si="24"/>
        <v>1</v>
      </c>
      <c r="H85">
        <f t="shared" si="25"/>
        <v>0</v>
      </c>
      <c r="I85">
        <f t="shared" si="26"/>
        <v>0</v>
      </c>
      <c r="J85">
        <f t="shared" si="27"/>
        <v>0</v>
      </c>
      <c r="K85">
        <f t="shared" si="28"/>
        <v>0</v>
      </c>
      <c r="L85">
        <f t="shared" si="29"/>
        <v>0</v>
      </c>
      <c r="M85">
        <f t="shared" si="30"/>
        <v>0</v>
      </c>
      <c r="N85">
        <f t="shared" si="31"/>
        <v>0</v>
      </c>
      <c r="O85">
        <f t="shared" si="32"/>
        <v>0</v>
      </c>
      <c r="P85">
        <f t="shared" si="33"/>
        <v>0</v>
      </c>
      <c r="Q85">
        <f t="shared" si="34"/>
        <v>0</v>
      </c>
      <c r="R85">
        <f t="shared" si="35"/>
        <v>0</v>
      </c>
      <c r="S85" s="141" t="b">
        <v>0</v>
      </c>
      <c r="T85" s="141" t="b">
        <v>1</v>
      </c>
      <c r="U85" s="141" t="b">
        <v>1</v>
      </c>
      <c r="V85" s="131"/>
      <c r="W85" s="131"/>
      <c r="X85" s="131"/>
      <c r="Y85" s="131"/>
      <c r="Z85" s="131"/>
      <c r="AA85" s="131"/>
      <c r="AB85" s="131"/>
      <c r="AC85" s="131"/>
      <c r="AD85" s="131"/>
    </row>
    <row r="86" spans="1:30" ht="14.4" x14ac:dyDescent="0.55000000000000004">
      <c r="A86" s="87" t="s">
        <v>1061</v>
      </c>
      <c r="B86" s="147" t="s">
        <v>505</v>
      </c>
      <c r="C86" s="83" t="s">
        <v>795</v>
      </c>
      <c r="D86" s="85" t="s">
        <v>810</v>
      </c>
      <c r="E86" s="83"/>
      <c r="F86" s="65" t="s">
        <v>1062</v>
      </c>
      <c r="G86">
        <f t="shared" si="24"/>
        <v>1</v>
      </c>
      <c r="H86">
        <f t="shared" si="25"/>
        <v>0</v>
      </c>
      <c r="I86">
        <f t="shared" si="26"/>
        <v>0</v>
      </c>
      <c r="J86">
        <f t="shared" si="27"/>
        <v>0</v>
      </c>
      <c r="K86">
        <f t="shared" si="28"/>
        <v>0</v>
      </c>
      <c r="L86">
        <f t="shared" si="29"/>
        <v>0</v>
      </c>
      <c r="M86">
        <f t="shared" si="30"/>
        <v>0</v>
      </c>
      <c r="N86">
        <f t="shared" si="31"/>
        <v>0</v>
      </c>
      <c r="O86">
        <f t="shared" si="32"/>
        <v>0</v>
      </c>
      <c r="P86">
        <f t="shared" si="33"/>
        <v>0</v>
      </c>
      <c r="Q86">
        <f t="shared" si="34"/>
        <v>0</v>
      </c>
      <c r="R86">
        <f t="shared" si="35"/>
        <v>0</v>
      </c>
      <c r="S86" s="141" t="b">
        <v>1</v>
      </c>
      <c r="T86" s="141" t="b">
        <v>1</v>
      </c>
      <c r="U86" s="141" t="b">
        <v>1</v>
      </c>
      <c r="V86" s="131"/>
      <c r="W86" s="131"/>
      <c r="X86" s="131"/>
      <c r="Y86" s="131"/>
      <c r="Z86" s="131"/>
      <c r="AA86" s="131"/>
      <c r="AB86" s="131"/>
      <c r="AC86" s="131"/>
      <c r="AD86" s="131"/>
    </row>
    <row r="87" spans="1:30" ht="14.4" x14ac:dyDescent="0.55000000000000004">
      <c r="A87" s="130" t="s">
        <v>1063</v>
      </c>
      <c r="B87" s="143" t="s">
        <v>505</v>
      </c>
      <c r="C87" s="130" t="s">
        <v>85</v>
      </c>
      <c r="D87" s="122" t="s">
        <v>810</v>
      </c>
      <c r="E87" s="130"/>
      <c r="F87" s="131" t="s">
        <v>1064</v>
      </c>
      <c r="G87">
        <f t="shared" si="24"/>
        <v>1</v>
      </c>
      <c r="H87">
        <f t="shared" si="25"/>
        <v>0</v>
      </c>
      <c r="I87">
        <f t="shared" si="26"/>
        <v>0</v>
      </c>
      <c r="J87">
        <f t="shared" si="27"/>
        <v>0</v>
      </c>
      <c r="K87">
        <f t="shared" si="28"/>
        <v>0</v>
      </c>
      <c r="L87">
        <f t="shared" si="29"/>
        <v>0</v>
      </c>
      <c r="M87">
        <f t="shared" si="30"/>
        <v>0</v>
      </c>
      <c r="N87">
        <f t="shared" si="31"/>
        <v>0</v>
      </c>
      <c r="O87">
        <f t="shared" si="32"/>
        <v>0</v>
      </c>
      <c r="P87">
        <f t="shared" si="33"/>
        <v>0</v>
      </c>
      <c r="Q87">
        <f t="shared" si="34"/>
        <v>0</v>
      </c>
      <c r="R87">
        <f t="shared" si="35"/>
        <v>0</v>
      </c>
      <c r="S87" s="141" t="b">
        <v>1</v>
      </c>
      <c r="T87" s="141" t="b">
        <v>1</v>
      </c>
      <c r="U87" s="141" t="b">
        <v>1</v>
      </c>
      <c r="V87" s="131"/>
      <c r="W87" s="131"/>
      <c r="X87" s="131"/>
      <c r="Y87" s="131"/>
      <c r="Z87" s="131"/>
      <c r="AA87" s="131"/>
      <c r="AB87" s="131"/>
      <c r="AC87" s="131"/>
      <c r="AD87" s="131"/>
    </row>
    <row r="88" spans="1:30" ht="14.4" x14ac:dyDescent="0.55000000000000004">
      <c r="A88" s="130" t="s">
        <v>912</v>
      </c>
      <c r="B88" s="143" t="s">
        <v>505</v>
      </c>
      <c r="C88" s="130" t="s">
        <v>85</v>
      </c>
      <c r="D88" s="120" t="s">
        <v>749</v>
      </c>
      <c r="E88" s="174"/>
      <c r="F88" s="140"/>
      <c r="G88">
        <f t="shared" si="24"/>
        <v>0</v>
      </c>
      <c r="H88">
        <f t="shared" si="25"/>
        <v>1</v>
      </c>
      <c r="I88">
        <f t="shared" si="26"/>
        <v>0</v>
      </c>
      <c r="J88">
        <f t="shared" si="27"/>
        <v>0</v>
      </c>
      <c r="K88">
        <f t="shared" si="28"/>
        <v>0</v>
      </c>
      <c r="L88">
        <f t="shared" si="29"/>
        <v>0</v>
      </c>
      <c r="M88">
        <f t="shared" si="30"/>
        <v>0</v>
      </c>
      <c r="N88">
        <f t="shared" si="31"/>
        <v>0</v>
      </c>
      <c r="O88">
        <f t="shared" si="32"/>
        <v>0</v>
      </c>
      <c r="P88">
        <f t="shared" si="33"/>
        <v>0</v>
      </c>
      <c r="Q88">
        <f t="shared" si="34"/>
        <v>0</v>
      </c>
      <c r="R88">
        <f t="shared" si="35"/>
        <v>0</v>
      </c>
      <c r="S88" s="141" t="b">
        <v>1</v>
      </c>
      <c r="T88" s="141" t="b">
        <v>1</v>
      </c>
      <c r="U88" s="141" t="b">
        <v>1</v>
      </c>
      <c r="V88" s="131"/>
      <c r="W88" s="131"/>
      <c r="X88" s="131"/>
      <c r="Y88" s="131"/>
      <c r="Z88" s="131"/>
      <c r="AA88" s="131"/>
      <c r="AB88" s="131"/>
      <c r="AC88" s="131"/>
      <c r="AD88" s="131"/>
    </row>
    <row r="89" spans="1:30" ht="14.4" x14ac:dyDescent="0.55000000000000004">
      <c r="A89" s="65" t="s">
        <v>1065</v>
      </c>
      <c r="B89" s="65" t="s">
        <v>505</v>
      </c>
      <c r="C89" s="65" t="s">
        <v>726</v>
      </c>
      <c r="D89" s="139" t="s">
        <v>787</v>
      </c>
      <c r="E89" s="50"/>
      <c r="F89" s="50" t="s">
        <v>1066</v>
      </c>
      <c r="G89">
        <f>IF(D85="Jason",1,0)</f>
        <v>1</v>
      </c>
      <c r="H89">
        <f>IF($D85="Jordan",1,0)</f>
        <v>0</v>
      </c>
      <c r="I89">
        <f>IF($D85="John",1,0)</f>
        <v>0</v>
      </c>
      <c r="J89">
        <f>IF($D85="Yigit",1,0)</f>
        <v>0</v>
      </c>
      <c r="K89">
        <f>IF($D85="Cagla",1,0)</f>
        <v>0</v>
      </c>
      <c r="L89">
        <f>IF($D85="Berkay",1,0)</f>
        <v>0</v>
      </c>
      <c r="M89">
        <f>IF($D85="Gozde",1,0)</f>
        <v>0</v>
      </c>
      <c r="N89">
        <f>IF($D85="Mertcan",1,0)</f>
        <v>0</v>
      </c>
      <c r="O89">
        <f>IF($D85="Amy",1,0)</f>
        <v>0</v>
      </c>
      <c r="P89">
        <f>IF($D85="Jason / Derya",1,0)</f>
        <v>0</v>
      </c>
      <c r="Q89">
        <f>IF($D85="Jason / Basak",1,0)</f>
        <v>0</v>
      </c>
      <c r="R89">
        <f>IF($D85="Jason / Cagla",1,0)</f>
        <v>0</v>
      </c>
      <c r="S89" s="141" t="b">
        <v>0</v>
      </c>
      <c r="T89" s="141" t="b">
        <v>1</v>
      </c>
      <c r="U89" s="141" t="b">
        <v>1</v>
      </c>
      <c r="V89" s="131"/>
      <c r="W89" s="131"/>
      <c r="X89" s="131"/>
      <c r="Y89" s="131"/>
      <c r="Z89" s="131"/>
      <c r="AA89" s="131"/>
      <c r="AB89" s="131"/>
      <c r="AC89" s="131"/>
      <c r="AD89" s="131"/>
    </row>
    <row r="90" spans="1:30" ht="14.4" x14ac:dyDescent="0.55000000000000004">
      <c r="A90" s="65" t="s">
        <v>1067</v>
      </c>
      <c r="B90" s="65" t="s">
        <v>505</v>
      </c>
      <c r="C90" s="65" t="s">
        <v>726</v>
      </c>
      <c r="D90" s="139" t="s">
        <v>787</v>
      </c>
      <c r="E90" s="50" t="s">
        <v>979</v>
      </c>
      <c r="F90" s="50" t="s">
        <v>1068</v>
      </c>
      <c r="G90">
        <f>IF(D86="Jason",1,0)</f>
        <v>1</v>
      </c>
      <c r="H90">
        <f>IF($D86="Jordan",1,0)</f>
        <v>0</v>
      </c>
      <c r="I90">
        <f>IF($D86="John",1,0)</f>
        <v>0</v>
      </c>
      <c r="J90">
        <f>IF($D86="Yigit",1,0)</f>
        <v>0</v>
      </c>
      <c r="K90">
        <f>IF($D86="Cagla",1,0)</f>
        <v>0</v>
      </c>
      <c r="L90">
        <f>IF($D86="Berkay",1,0)</f>
        <v>0</v>
      </c>
      <c r="M90">
        <f>IF($D86="Gozde",1,0)</f>
        <v>0</v>
      </c>
      <c r="N90">
        <f>IF($D86="Mertcan",1,0)</f>
        <v>0</v>
      </c>
      <c r="O90">
        <f>IF($D86="Amy",1,0)</f>
        <v>0</v>
      </c>
      <c r="P90">
        <f>IF($D86="Jason / Derya",1,0)</f>
        <v>0</v>
      </c>
      <c r="Q90">
        <f>IF($D86="Jason / Basak",1,0)</f>
        <v>0</v>
      </c>
      <c r="R90">
        <f>IF($D86="Jason / Cagla",1,0)</f>
        <v>0</v>
      </c>
      <c r="S90" s="141" t="b">
        <v>1</v>
      </c>
      <c r="T90" s="141" t="b">
        <v>1</v>
      </c>
      <c r="U90" s="141" t="b">
        <v>1</v>
      </c>
      <c r="V90" s="131"/>
      <c r="W90" s="131"/>
      <c r="X90" s="131"/>
      <c r="Y90" s="131"/>
      <c r="Z90" s="131"/>
      <c r="AA90" s="131"/>
      <c r="AB90" s="131"/>
      <c r="AC90" s="131"/>
      <c r="AD90" s="131"/>
    </row>
    <row r="91" spans="1:30" ht="14.4" x14ac:dyDescent="0.55000000000000004">
      <c r="A91" s="65" t="s">
        <v>1069</v>
      </c>
      <c r="B91" s="65" t="s">
        <v>505</v>
      </c>
      <c r="C91" s="65" t="s">
        <v>85</v>
      </c>
      <c r="D91" s="139" t="s">
        <v>787</v>
      </c>
      <c r="E91" s="50"/>
      <c r="F91" s="50" t="s">
        <v>1070</v>
      </c>
      <c r="G91">
        <f>IF(D87="Jason",1,0)</f>
        <v>1</v>
      </c>
      <c r="H91">
        <f>IF($D87="Jordan",1,0)</f>
        <v>0</v>
      </c>
      <c r="I91">
        <f>IF($D87="John",1,0)</f>
        <v>0</v>
      </c>
      <c r="J91">
        <f>IF($D87="Yigit",1,0)</f>
        <v>0</v>
      </c>
      <c r="K91">
        <f>IF($D87="Cagla",1,0)</f>
        <v>0</v>
      </c>
      <c r="L91">
        <f>IF($D87="Berkay",1,0)</f>
        <v>0</v>
      </c>
      <c r="M91">
        <f>IF($D87="Gozde",1,0)</f>
        <v>0</v>
      </c>
      <c r="N91">
        <f>IF($D87="Mertcan",1,0)</f>
        <v>0</v>
      </c>
      <c r="O91">
        <f>IF($D87="Amy",1,0)</f>
        <v>0</v>
      </c>
      <c r="P91">
        <f>IF($D87="Jason / Derya",1,0)</f>
        <v>0</v>
      </c>
      <c r="Q91">
        <f>IF($D87="Jason / Basak",1,0)</f>
        <v>0</v>
      </c>
      <c r="R91">
        <f>IF($D87="Jason / Cagla",1,0)</f>
        <v>0</v>
      </c>
      <c r="S91" s="141" t="b">
        <v>1</v>
      </c>
      <c r="T91" s="141" t="b">
        <v>1</v>
      </c>
      <c r="U91" s="141" t="b">
        <v>1</v>
      </c>
      <c r="V91" s="131"/>
      <c r="W91" s="131"/>
      <c r="X91" s="131"/>
      <c r="Y91" s="131"/>
      <c r="Z91" s="131"/>
      <c r="AA91" s="131"/>
      <c r="AB91" s="131"/>
      <c r="AC91" s="131"/>
      <c r="AD91" s="131"/>
    </row>
    <row r="92" spans="1:30" ht="14.4" x14ac:dyDescent="0.55000000000000004">
      <c r="A92" s="77" t="s">
        <v>918</v>
      </c>
      <c r="B92" s="172" t="s">
        <v>917</v>
      </c>
      <c r="C92" s="78" t="s">
        <v>726</v>
      </c>
      <c r="D92" s="74" t="s">
        <v>752</v>
      </c>
      <c r="E92" s="81"/>
      <c r="F92" s="50" t="s">
        <v>919</v>
      </c>
      <c r="G92">
        <f>IF(D88="Jason",1,0)</f>
        <v>0</v>
      </c>
      <c r="H92">
        <f>IF($D88="Jordan",1,0)</f>
        <v>1</v>
      </c>
      <c r="I92">
        <f>IF($D88="John",1,0)</f>
        <v>0</v>
      </c>
      <c r="J92">
        <f>IF($D88="Yigit",1,0)</f>
        <v>0</v>
      </c>
      <c r="K92">
        <f>IF($D88="Cagla",1,0)</f>
        <v>0</v>
      </c>
      <c r="L92">
        <f>IF($D88="Berkay",1,0)</f>
        <v>0</v>
      </c>
      <c r="M92">
        <f>IF($D88="Gozde",1,0)</f>
        <v>0</v>
      </c>
      <c r="N92">
        <f>IF($D88="Mertcan",1,0)</f>
        <v>0</v>
      </c>
      <c r="O92">
        <f>IF($D88="Amy",1,0)</f>
        <v>0</v>
      </c>
      <c r="P92">
        <f>IF($D88="Jason / Derya",1,0)</f>
        <v>0</v>
      </c>
      <c r="Q92">
        <f>IF($D88="Jason / Basak",1,0)</f>
        <v>0</v>
      </c>
      <c r="R92">
        <f>IF($D88="Jason / Cagla",1,0)</f>
        <v>0</v>
      </c>
      <c r="S92" s="141" t="b">
        <v>0</v>
      </c>
      <c r="T92" s="141" t="b">
        <v>1</v>
      </c>
      <c r="U92" s="141" t="b">
        <v>0</v>
      </c>
      <c r="V92" s="131"/>
      <c r="W92" s="131"/>
      <c r="X92" s="131"/>
      <c r="Y92" s="131"/>
      <c r="Z92" s="131"/>
      <c r="AA92" s="131"/>
      <c r="AB92" s="131"/>
      <c r="AC92" s="131"/>
      <c r="AD92" s="131"/>
    </row>
    <row r="93" spans="1:30" ht="14.4" x14ac:dyDescent="0.55000000000000004">
      <c r="G93" s="49">
        <f t="shared" ref="G93:R93" si="36">SUM(G2:G92)</f>
        <v>35</v>
      </c>
      <c r="H93" s="49">
        <f t="shared" si="36"/>
        <v>7</v>
      </c>
      <c r="I93" s="49">
        <f t="shared" si="36"/>
        <v>10</v>
      </c>
      <c r="J93" s="49">
        <f t="shared" si="36"/>
        <v>15</v>
      </c>
      <c r="K93" s="49">
        <f t="shared" si="36"/>
        <v>3</v>
      </c>
      <c r="L93" s="49">
        <f t="shared" si="36"/>
        <v>10</v>
      </c>
      <c r="M93" s="49">
        <f t="shared" si="36"/>
        <v>2</v>
      </c>
      <c r="N93" s="49">
        <f t="shared" si="36"/>
        <v>3</v>
      </c>
      <c r="O93" s="49">
        <f t="shared" si="36"/>
        <v>1</v>
      </c>
      <c r="P93" s="49">
        <f t="shared" si="36"/>
        <v>0</v>
      </c>
      <c r="Q93" s="49">
        <f t="shared" si="36"/>
        <v>0</v>
      </c>
      <c r="R93" s="49">
        <f t="shared" si="36"/>
        <v>0</v>
      </c>
    </row>
    <row r="94" spans="1:30" ht="14.4" x14ac:dyDescent="0.55000000000000004">
      <c r="G94" s="61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</row>
    <row r="95" spans="1:30" ht="14.4" x14ac:dyDescent="0.55000000000000004">
      <c r="B95" s="61" t="s">
        <v>1071</v>
      </c>
      <c r="C95" s="62">
        <f>COUNTA(A2:A92)</f>
        <v>91</v>
      </c>
      <c r="E95" s="61" t="s">
        <v>1072</v>
      </c>
      <c r="F95">
        <f>SUM(E2:E88)</f>
        <v>0</v>
      </c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>
        <f>COUNTIF(S2:S92, TRUE)</f>
        <v>64</v>
      </c>
      <c r="T95">
        <f>COUNTIF(T2:T92, TRUE)</f>
        <v>55</v>
      </c>
      <c r="U95">
        <f>COUNTIF(U2:U92, TRUE)</f>
        <v>45</v>
      </c>
    </row>
    <row r="96" spans="1:30" ht="14.4" x14ac:dyDescent="0.55000000000000004"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150">
        <f>S95/C95</f>
        <v>0.70329670329670335</v>
      </c>
      <c r="T96" s="150">
        <f>T95/C95</f>
        <v>0.60439560439560436</v>
      </c>
      <c r="U96" s="150">
        <f>U95/C95</f>
        <v>0.49450549450549453</v>
      </c>
    </row>
    <row r="97" spans="2:18" ht="14.4" x14ac:dyDescent="0.55000000000000004"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2:18" ht="14.4" x14ac:dyDescent="0.55000000000000004"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2:18" ht="14.4" x14ac:dyDescent="0.55000000000000004">
      <c r="B99" s="227" t="s">
        <v>1073</v>
      </c>
      <c r="C99" s="227"/>
    </row>
    <row r="100" spans="2:18" ht="14.4" x14ac:dyDescent="0.55000000000000004">
      <c r="B100" s="132" t="s">
        <v>887</v>
      </c>
      <c r="C100" s="133">
        <f>I93</f>
        <v>10</v>
      </c>
    </row>
    <row r="101" spans="2:18" ht="14.4" x14ac:dyDescent="0.55000000000000004">
      <c r="B101" s="132" t="s">
        <v>810</v>
      </c>
      <c r="C101" s="133">
        <f>G93+Q93+R93+P93</f>
        <v>35</v>
      </c>
      <c r="F101" t="s">
        <v>1074</v>
      </c>
    </row>
    <row r="102" spans="2:18" ht="14.4" x14ac:dyDescent="0.55000000000000004">
      <c r="B102" s="132" t="s">
        <v>749</v>
      </c>
      <c r="C102" s="133">
        <f>H93</f>
        <v>7</v>
      </c>
      <c r="F102" t="s">
        <v>1075</v>
      </c>
    </row>
    <row r="103" spans="2:18" ht="14.4" x14ac:dyDescent="0.55000000000000004">
      <c r="B103" s="132" t="s">
        <v>964</v>
      </c>
      <c r="C103" s="133">
        <f>O93</f>
        <v>1</v>
      </c>
    </row>
    <row r="104" spans="2:18" ht="14.4" x14ac:dyDescent="0.55000000000000004">
      <c r="B104" s="132" t="s">
        <v>787</v>
      </c>
      <c r="C104" s="133">
        <f>J93</f>
        <v>15</v>
      </c>
    </row>
    <row r="105" spans="2:18" ht="14.4" x14ac:dyDescent="0.55000000000000004">
      <c r="B105" s="132" t="s">
        <v>959</v>
      </c>
      <c r="C105" s="133">
        <f>K93+R93</f>
        <v>3</v>
      </c>
    </row>
    <row r="106" spans="2:18" ht="14.4" x14ac:dyDescent="0.55000000000000004">
      <c r="B106" s="132" t="s">
        <v>752</v>
      </c>
      <c r="C106" s="133">
        <f>L93</f>
        <v>10</v>
      </c>
    </row>
    <row r="107" spans="2:18" ht="14.4" x14ac:dyDescent="0.55000000000000004">
      <c r="B107" s="132" t="s">
        <v>960</v>
      </c>
      <c r="C107" s="133">
        <f>M93</f>
        <v>2</v>
      </c>
    </row>
    <row r="108" spans="2:18" ht="14.4" x14ac:dyDescent="0.55000000000000004">
      <c r="B108" s="132" t="s">
        <v>961</v>
      </c>
      <c r="C108" s="133">
        <f>N93</f>
        <v>3</v>
      </c>
    </row>
    <row r="109" spans="2:18" ht="14.4" x14ac:dyDescent="0.55000000000000004">
      <c r="B109" s="134" t="s">
        <v>1076</v>
      </c>
      <c r="C109" s="135">
        <f>SUM(C100:C108)</f>
        <v>86</v>
      </c>
    </row>
  </sheetData>
  <autoFilter ref="A1:AD93" xr:uid="{54C5159F-331F-4626-AA09-63402A71CBE4}">
    <sortState xmlns:xlrd2="http://schemas.microsoft.com/office/spreadsheetml/2017/richdata2" ref="A2:AD93">
      <sortCondition ref="B1:B93"/>
    </sortState>
  </autoFilter>
  <mergeCells count="1">
    <mergeCell ref="B99:C99"/>
  </mergeCells>
  <conditionalFormatting sqref="D2:D92">
    <cfRule type="cellIs" dxfId="7" priority="1" operator="equal">
      <formula>"Jordan"</formula>
    </cfRule>
    <cfRule type="cellIs" dxfId="6" priority="2" operator="equal">
      <formula>"Yigit"</formula>
    </cfRule>
    <cfRule type="cellIs" dxfId="5" priority="3" operator="equal">
      <formula>"Gozde"</formula>
    </cfRule>
    <cfRule type="cellIs" dxfId="4" priority="4" operator="equal">
      <formula>"Mertcan"</formula>
    </cfRule>
    <cfRule type="cellIs" dxfId="3" priority="5" operator="equal">
      <formula>"Cagla"</formula>
    </cfRule>
    <cfRule type="cellIs" dxfId="2" priority="6" operator="equal">
      <formula>"John"</formula>
    </cfRule>
    <cfRule type="cellIs" dxfId="1" priority="7" operator="equal">
      <formula>"Berkay"</formula>
    </cfRule>
    <cfRule type="cellIs" dxfId="0" priority="8" operator="equal">
      <formula>"Jason"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E58F-7CD6-41EC-BB0C-8BCD7F35AA81}">
  <sheetPr>
    <tabColor rgb="FFFFC000"/>
  </sheetPr>
  <dimension ref="A1:F59"/>
  <sheetViews>
    <sheetView tabSelected="1" zoomScale="114" zoomScaleNormal="145" workbookViewId="0">
      <selection activeCell="B13" sqref="B13:B14"/>
    </sheetView>
  </sheetViews>
  <sheetFormatPr defaultColWidth="8.83984375" defaultRowHeight="15" customHeight="1" x14ac:dyDescent="0.55000000000000004"/>
  <cols>
    <col min="1" max="2" width="29.41796875" customWidth="1"/>
    <col min="3" max="3" width="42.68359375" customWidth="1"/>
    <col min="4" max="6" width="29.41796875" customWidth="1"/>
  </cols>
  <sheetData>
    <row r="1" spans="1:6" ht="14.4" x14ac:dyDescent="0.55000000000000004">
      <c r="A1" s="49" t="s">
        <v>1077</v>
      </c>
      <c r="B1" s="49"/>
    </row>
    <row r="2" spans="1:6" ht="15" customHeight="1" x14ac:dyDescent="0.55000000000000004">
      <c r="A2" s="191" t="s">
        <v>469</v>
      </c>
      <c r="B2" s="191"/>
    </row>
    <row r="3" spans="1:6" ht="45.75" customHeight="1" x14ac:dyDescent="0.55000000000000004">
      <c r="A3" s="111" t="s">
        <v>1078</v>
      </c>
      <c r="B3" s="111" t="s">
        <v>1079</v>
      </c>
      <c r="C3" s="111" t="s">
        <v>1080</v>
      </c>
      <c r="D3" s="111" t="s">
        <v>1081</v>
      </c>
      <c r="E3" s="111" t="s">
        <v>1082</v>
      </c>
      <c r="F3" s="111" t="s">
        <v>1083</v>
      </c>
    </row>
    <row r="4" spans="1:6" ht="14.4" x14ac:dyDescent="0.55000000000000004">
      <c r="A4" s="50" t="s">
        <v>1084</v>
      </c>
      <c r="B4" s="50" t="s">
        <v>1085</v>
      </c>
      <c r="C4" s="152" t="s">
        <v>1086</v>
      </c>
      <c r="D4" s="160" t="s">
        <v>108</v>
      </c>
      <c r="E4" s="50" t="s">
        <v>471</v>
      </c>
      <c r="F4" s="50" t="s">
        <v>1087</v>
      </c>
    </row>
    <row r="5" spans="1:6" ht="14.4" x14ac:dyDescent="0.55000000000000004">
      <c r="A5" s="50"/>
      <c r="B5" s="50" t="s">
        <v>1088</v>
      </c>
      <c r="C5" s="161" t="s">
        <v>1089</v>
      </c>
      <c r="D5" s="152" t="s">
        <v>699</v>
      </c>
      <c r="E5" s="129" t="s">
        <v>1029</v>
      </c>
      <c r="F5" s="50" t="s">
        <v>1090</v>
      </c>
    </row>
    <row r="6" spans="1:6" ht="14.4" x14ac:dyDescent="0.55000000000000004">
      <c r="A6" s="50"/>
      <c r="B6" s="50" t="s">
        <v>1091</v>
      </c>
      <c r="C6" s="161" t="s">
        <v>1092</v>
      </c>
      <c r="D6" s="152" t="s">
        <v>1049</v>
      </c>
      <c r="E6" s="129" t="s">
        <v>505</v>
      </c>
      <c r="F6" s="50" t="s">
        <v>765</v>
      </c>
    </row>
    <row r="7" spans="1:6" ht="14.4" x14ac:dyDescent="0.55000000000000004">
      <c r="A7" s="50"/>
      <c r="B7" s="50" t="s">
        <v>1093</v>
      </c>
      <c r="C7" s="161" t="s">
        <v>1094</v>
      </c>
      <c r="D7" s="151" t="s">
        <v>1095</v>
      </c>
      <c r="E7" s="129" t="s">
        <v>739</v>
      </c>
      <c r="F7" s="50" t="s">
        <v>941</v>
      </c>
    </row>
    <row r="8" spans="1:6" ht="14.4" x14ac:dyDescent="0.55000000000000004">
      <c r="A8" s="50"/>
      <c r="B8" s="50" t="s">
        <v>1096</v>
      </c>
      <c r="C8" s="179" t="s">
        <v>1097</v>
      </c>
      <c r="D8" s="153" t="s">
        <v>428</v>
      </c>
      <c r="E8" s="129"/>
      <c r="F8" s="50" t="s">
        <v>920</v>
      </c>
    </row>
    <row r="9" spans="1:6" ht="14.4" x14ac:dyDescent="0.55000000000000004">
      <c r="A9" s="50"/>
      <c r="B9" s="50" t="s">
        <v>1098</v>
      </c>
      <c r="C9" s="162" t="s">
        <v>1099</v>
      </c>
      <c r="D9" s="152" t="s">
        <v>1100</v>
      </c>
      <c r="E9" s="129"/>
      <c r="F9" s="50"/>
    </row>
    <row r="10" spans="1:6" ht="14.4" x14ac:dyDescent="0.55000000000000004">
      <c r="A10" s="50"/>
      <c r="B10" s="50" t="s">
        <v>1101</v>
      </c>
      <c r="C10" s="163" t="s">
        <v>1102</v>
      </c>
      <c r="D10" s="152" t="s">
        <v>365</v>
      </c>
      <c r="E10" s="129"/>
      <c r="F10" s="50" t="s">
        <v>923</v>
      </c>
    </row>
    <row r="11" spans="1:6" ht="14.4" x14ac:dyDescent="0.55000000000000004">
      <c r="A11" s="51"/>
      <c r="B11" s="175" t="s">
        <v>1103</v>
      </c>
      <c r="C11" s="164" t="s">
        <v>1104</v>
      </c>
      <c r="D11" s="153"/>
      <c r="E11" s="129"/>
      <c r="F11" s="50" t="s">
        <v>1105</v>
      </c>
    </row>
    <row r="12" spans="1:6" ht="14.4" x14ac:dyDescent="0.55000000000000004">
      <c r="A12" s="51"/>
      <c r="B12" s="50" t="s">
        <v>1106</v>
      </c>
      <c r="C12" s="165" t="s">
        <v>1107</v>
      </c>
      <c r="D12" s="50"/>
      <c r="E12" s="129"/>
      <c r="F12" s="50"/>
    </row>
    <row r="13" spans="1:6" ht="14.4" x14ac:dyDescent="0.55000000000000004">
      <c r="A13" s="68"/>
      <c r="B13" s="175"/>
      <c r="C13" s="51" t="s">
        <v>1108</v>
      </c>
      <c r="D13" s="50"/>
      <c r="E13" s="129"/>
      <c r="F13" s="50" t="s">
        <v>1109</v>
      </c>
    </row>
    <row r="14" spans="1:6" ht="14.4" x14ac:dyDescent="0.55000000000000004">
      <c r="A14" s="51"/>
      <c r="B14" s="50"/>
      <c r="C14" s="181" t="s">
        <v>1110</v>
      </c>
      <c r="D14" s="50"/>
      <c r="E14" s="129"/>
      <c r="F14" s="50"/>
    </row>
    <row r="15" spans="1:6" ht="14.4" x14ac:dyDescent="0.55000000000000004">
      <c r="A15" s="51"/>
      <c r="B15" s="68"/>
      <c r="C15" s="180" t="s">
        <v>1111</v>
      </c>
      <c r="D15" s="50"/>
      <c r="E15" s="129"/>
      <c r="F15" s="50"/>
    </row>
    <row r="16" spans="1:6" ht="14.4" x14ac:dyDescent="0.55000000000000004">
      <c r="A16" s="51"/>
      <c r="B16" s="51"/>
      <c r="C16" s="151" t="s">
        <v>1112</v>
      </c>
      <c r="D16" s="128"/>
      <c r="E16" s="50"/>
      <c r="F16" s="50"/>
    </row>
    <row r="17" spans="1:6" ht="14.4" x14ac:dyDescent="0.55000000000000004">
      <c r="A17" s="68"/>
      <c r="B17" s="51"/>
      <c r="C17" s="152" t="s">
        <v>1113</v>
      </c>
      <c r="D17" s="129"/>
      <c r="E17" s="50"/>
      <c r="F17" s="50"/>
    </row>
    <row r="18" spans="1:6" ht="14.4" x14ac:dyDescent="0.55000000000000004">
      <c r="A18" s="51"/>
      <c r="B18" s="51"/>
      <c r="C18" s="51" t="s">
        <v>1114</v>
      </c>
      <c r="D18" s="129"/>
      <c r="E18" s="50"/>
      <c r="F18" s="50"/>
    </row>
    <row r="19" spans="1:6" ht="14.4" x14ac:dyDescent="0.55000000000000004">
      <c r="A19" s="51"/>
      <c r="B19" s="51"/>
      <c r="C19" s="50" t="s">
        <v>1115</v>
      </c>
      <c r="D19" s="129"/>
      <c r="E19" s="50"/>
      <c r="F19" s="50"/>
    </row>
    <row r="20" spans="1:6" ht="14.4" x14ac:dyDescent="0.55000000000000004">
      <c r="A20" s="51"/>
      <c r="B20" s="51"/>
      <c r="C20" s="175" t="s">
        <v>1116</v>
      </c>
      <c r="D20" s="129"/>
      <c r="E20" s="50"/>
      <c r="F20" s="50"/>
    </row>
    <row r="21" spans="1:6" ht="14.4" x14ac:dyDescent="0.55000000000000004">
      <c r="A21" s="51"/>
      <c r="B21" s="51"/>
      <c r="C21" s="50" t="s">
        <v>1117</v>
      </c>
      <c r="D21" s="129"/>
      <c r="E21" s="50"/>
      <c r="F21" s="50"/>
    </row>
    <row r="22" spans="1:6" ht="15.6" x14ac:dyDescent="0.6">
      <c r="A22" s="50"/>
      <c r="B22" s="68"/>
      <c r="C22" s="153"/>
      <c r="D22" s="176"/>
      <c r="E22" s="110"/>
      <c r="F22" s="110"/>
    </row>
    <row r="23" spans="1:6" ht="15.6" x14ac:dyDescent="0.6">
      <c r="A23" s="65"/>
      <c r="B23" s="175"/>
      <c r="C23" s="50"/>
      <c r="D23" s="177"/>
      <c r="E23" s="114"/>
      <c r="F23" s="114"/>
    </row>
    <row r="24" spans="1:6" ht="15.9" thickBot="1" x14ac:dyDescent="0.65">
      <c r="A24" s="116"/>
      <c r="B24" s="116"/>
      <c r="C24" s="178"/>
      <c r="D24" s="118"/>
      <c r="E24" s="118"/>
      <c r="F24" s="118"/>
    </row>
    <row r="25" spans="1:6" ht="14.4" x14ac:dyDescent="0.55000000000000004">
      <c r="A25" s="61" t="s">
        <v>1118</v>
      </c>
      <c r="B25" s="115">
        <f>COUNTA(B4:B24)</f>
        <v>9</v>
      </c>
      <c r="C25" s="115">
        <f>COUNTA(C4:C24)</f>
        <v>18</v>
      </c>
      <c r="D25" s="115">
        <f>COUNTA(D4:D24)</f>
        <v>7</v>
      </c>
      <c r="E25" s="115">
        <f>COUNTA(E4:E24)</f>
        <v>4</v>
      </c>
      <c r="F25" s="115">
        <f>COUNTA(F4:F24)</f>
        <v>8</v>
      </c>
    </row>
    <row r="26" spans="1:6" ht="15.6" x14ac:dyDescent="0.6">
      <c r="C26" s="113"/>
    </row>
    <row r="27" spans="1:6" ht="15" customHeight="1" x14ac:dyDescent="0.55000000000000004">
      <c r="A27" s="157"/>
      <c r="B27" s="159" t="s">
        <v>459</v>
      </c>
      <c r="C27" s="86" t="s">
        <v>1119</v>
      </c>
      <c r="D27" s="86"/>
    </row>
    <row r="28" spans="1:6" ht="15" customHeight="1" x14ac:dyDescent="0.55000000000000004">
      <c r="A28" s="157" t="s">
        <v>1120</v>
      </c>
      <c r="B28" s="159" t="s">
        <v>401</v>
      </c>
      <c r="C28" s="158" t="s">
        <v>1121</v>
      </c>
      <c r="D28" s="86"/>
    </row>
    <row r="29" spans="1:6" ht="15" customHeight="1" x14ac:dyDescent="0.55000000000000004">
      <c r="A29" s="157"/>
      <c r="B29" s="159" t="s">
        <v>1122</v>
      </c>
      <c r="C29" s="86"/>
      <c r="D29" s="86"/>
    </row>
    <row r="30" spans="1:6" ht="15" customHeight="1" x14ac:dyDescent="0.55000000000000004">
      <c r="A30" s="157"/>
      <c r="B30" s="159" t="s">
        <v>1123</v>
      </c>
      <c r="C30" s="86"/>
      <c r="D30" s="86"/>
    </row>
    <row r="31" spans="1:6" ht="15" customHeight="1" x14ac:dyDescent="0.55000000000000004">
      <c r="A31" s="157"/>
      <c r="B31" s="159"/>
      <c r="C31" s="86"/>
      <c r="D31" s="86"/>
    </row>
    <row r="32" spans="1:6" ht="15" customHeight="1" x14ac:dyDescent="0.55000000000000004">
      <c r="A32" s="157" t="s">
        <v>1124</v>
      </c>
      <c r="B32" s="159" t="s">
        <v>391</v>
      </c>
      <c r="C32" s="86" t="s">
        <v>1125</v>
      </c>
      <c r="D32" s="86"/>
    </row>
    <row r="33" spans="1:4" ht="15" customHeight="1" x14ac:dyDescent="0.55000000000000004">
      <c r="A33" s="157"/>
      <c r="B33" s="159" t="s">
        <v>392</v>
      </c>
      <c r="C33" s="86"/>
      <c r="D33" s="86"/>
    </row>
    <row r="34" spans="1:4" ht="15" customHeight="1" x14ac:dyDescent="0.55000000000000004">
      <c r="A34" s="157"/>
      <c r="B34" s="159" t="s">
        <v>1126</v>
      </c>
      <c r="C34" s="86"/>
      <c r="D34" s="86"/>
    </row>
    <row r="35" spans="1:4" ht="15" customHeight="1" x14ac:dyDescent="0.55000000000000004">
      <c r="A35" s="157"/>
      <c r="B35" s="159"/>
      <c r="C35" s="86"/>
      <c r="D35" s="86"/>
    </row>
    <row r="36" spans="1:4" ht="15" customHeight="1" x14ac:dyDescent="0.55000000000000004">
      <c r="A36" s="157" t="s">
        <v>1127</v>
      </c>
      <c r="B36" s="159" t="s">
        <v>186</v>
      </c>
      <c r="C36" s="158" t="s">
        <v>1128</v>
      </c>
      <c r="D36" s="86"/>
    </row>
    <row r="37" spans="1:4" ht="15" customHeight="1" x14ac:dyDescent="0.55000000000000004">
      <c r="A37" s="157"/>
      <c r="B37" s="159" t="s">
        <v>1129</v>
      </c>
      <c r="C37" s="86"/>
      <c r="D37" s="86"/>
    </row>
    <row r="38" spans="1:4" ht="15" customHeight="1" x14ac:dyDescent="0.55000000000000004">
      <c r="A38" s="157"/>
      <c r="B38" s="159" t="s">
        <v>1130</v>
      </c>
      <c r="C38" s="86"/>
      <c r="D38" s="86"/>
    </row>
    <row r="39" spans="1:4" ht="15" customHeight="1" x14ac:dyDescent="0.55000000000000004">
      <c r="A39" s="157"/>
      <c r="B39" s="159"/>
      <c r="C39" s="86"/>
      <c r="D39" s="86"/>
    </row>
    <row r="40" spans="1:4" ht="15" customHeight="1" x14ac:dyDescent="0.55000000000000004">
      <c r="A40" s="157" t="s">
        <v>297</v>
      </c>
      <c r="B40" s="159" t="s">
        <v>416</v>
      </c>
      <c r="C40" s="158" t="s">
        <v>1131</v>
      </c>
      <c r="D40" s="86"/>
    </row>
    <row r="41" spans="1:4" ht="15" customHeight="1" x14ac:dyDescent="0.55000000000000004">
      <c r="A41" s="157"/>
      <c r="B41" s="159"/>
      <c r="C41" s="86"/>
      <c r="D41" s="86"/>
    </row>
    <row r="42" spans="1:4" ht="15" customHeight="1" x14ac:dyDescent="0.55000000000000004">
      <c r="A42" s="157" t="s">
        <v>1132</v>
      </c>
      <c r="B42" s="159" t="s">
        <v>1133</v>
      </c>
      <c r="C42" s="86" t="s">
        <v>1134</v>
      </c>
      <c r="D42" s="86"/>
    </row>
    <row r="43" spans="1:4" ht="15" customHeight="1" x14ac:dyDescent="0.55000000000000004">
      <c r="A43" s="157"/>
      <c r="B43" s="159"/>
      <c r="C43" s="86"/>
      <c r="D43" s="86"/>
    </row>
    <row r="44" spans="1:4" ht="15" customHeight="1" x14ac:dyDescent="0.55000000000000004">
      <c r="A44" s="157" t="s">
        <v>1135</v>
      </c>
      <c r="B44" s="159" t="s">
        <v>1136</v>
      </c>
      <c r="C44" s="86" t="s">
        <v>1137</v>
      </c>
      <c r="D44" s="86"/>
    </row>
    <row r="45" spans="1:4" ht="15" customHeight="1" x14ac:dyDescent="0.55000000000000004">
      <c r="A45" s="157"/>
      <c r="B45" s="86"/>
      <c r="C45" s="86"/>
      <c r="D45" s="86"/>
    </row>
    <row r="46" spans="1:4" ht="15" customHeight="1" x14ac:dyDescent="0.55000000000000004">
      <c r="A46" s="157" t="s">
        <v>60</v>
      </c>
      <c r="B46" s="86"/>
      <c r="C46" s="86"/>
      <c r="D46" s="86"/>
    </row>
    <row r="47" spans="1:4" ht="15" customHeight="1" x14ac:dyDescent="0.55000000000000004">
      <c r="C47" s="86"/>
    </row>
    <row r="48" spans="1:4" ht="15" customHeight="1" x14ac:dyDescent="0.55000000000000004">
      <c r="A48" s="61" t="s">
        <v>173</v>
      </c>
      <c r="B48" s="94" t="s">
        <v>382</v>
      </c>
      <c r="C48" s="158" t="s">
        <v>1138</v>
      </c>
    </row>
    <row r="49" spans="1:3" ht="15" customHeight="1" x14ac:dyDescent="0.55000000000000004">
      <c r="A49" s="61"/>
      <c r="B49" s="94" t="s">
        <v>381</v>
      </c>
      <c r="C49" s="86"/>
    </row>
    <row r="50" spans="1:3" ht="15" customHeight="1" x14ac:dyDescent="0.55000000000000004">
      <c r="A50" s="61"/>
      <c r="B50" s="94" t="s">
        <v>380</v>
      </c>
      <c r="C50" s="86"/>
    </row>
    <row r="51" spans="1:3" ht="15" customHeight="1" x14ac:dyDescent="0.55000000000000004">
      <c r="A51" s="61"/>
      <c r="B51" s="94"/>
      <c r="C51" s="86"/>
    </row>
    <row r="52" spans="1:3" ht="15" customHeight="1" x14ac:dyDescent="0.55000000000000004">
      <c r="A52" s="61" t="s">
        <v>1139</v>
      </c>
      <c r="B52" s="94" t="s">
        <v>387</v>
      </c>
      <c r="C52" s="86" t="s">
        <v>1140</v>
      </c>
    </row>
    <row r="53" spans="1:3" ht="15" customHeight="1" x14ac:dyDescent="0.55000000000000004">
      <c r="A53" s="61"/>
      <c r="B53" s="94" t="s">
        <v>1141</v>
      </c>
      <c r="C53" s="86"/>
    </row>
    <row r="54" spans="1:3" ht="15" customHeight="1" x14ac:dyDescent="0.55000000000000004">
      <c r="A54" s="61"/>
      <c r="B54" s="94"/>
      <c r="C54" s="86"/>
    </row>
    <row r="55" spans="1:3" ht="15" customHeight="1" x14ac:dyDescent="0.55000000000000004">
      <c r="A55" s="61" t="s">
        <v>365</v>
      </c>
      <c r="B55" s="94" t="s">
        <v>366</v>
      </c>
      <c r="C55" s="86"/>
    </row>
    <row r="56" spans="1:3" ht="15" customHeight="1" x14ac:dyDescent="0.55000000000000004">
      <c r="B56" s="94" t="s">
        <v>367</v>
      </c>
      <c r="C56" s="86"/>
    </row>
    <row r="57" spans="1:3" ht="15" customHeight="1" x14ac:dyDescent="0.55000000000000004">
      <c r="B57" s="94" t="s">
        <v>1142</v>
      </c>
      <c r="C57" s="86"/>
    </row>
    <row r="58" spans="1:3" ht="15" customHeight="1" x14ac:dyDescent="0.55000000000000004">
      <c r="B58" s="94" t="s">
        <v>368</v>
      </c>
      <c r="C58" s="86"/>
    </row>
    <row r="59" spans="1:3" ht="15" customHeight="1" x14ac:dyDescent="0.55000000000000004">
      <c r="B59" s="94" t="s">
        <v>1143</v>
      </c>
      <c r="C59" s="86"/>
    </row>
  </sheetData>
  <mergeCells count="1">
    <mergeCell ref="A2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92CA-928B-4A33-A147-FCEB2D06003D}">
  <sheetPr>
    <tabColor rgb="FF00B050"/>
  </sheetPr>
  <dimension ref="A1:E141"/>
  <sheetViews>
    <sheetView topLeftCell="B55" workbookViewId="0">
      <selection activeCell="B55" sqref="B55"/>
    </sheetView>
  </sheetViews>
  <sheetFormatPr defaultColWidth="8.83984375" defaultRowHeight="14.4" x14ac:dyDescent="0.55000000000000004"/>
  <cols>
    <col min="1" max="1" width="32.41796875" customWidth="1"/>
    <col min="2" max="2" width="80.41796875" customWidth="1"/>
    <col min="3" max="9" width="29.41796875" customWidth="1"/>
  </cols>
  <sheetData>
    <row r="1" spans="1:2" x14ac:dyDescent="0.55000000000000004">
      <c r="A1" s="49" t="s">
        <v>1077</v>
      </c>
    </row>
    <row r="3" spans="1:2" ht="28.8" x14ac:dyDescent="0.55000000000000004">
      <c r="A3" s="111" t="s">
        <v>1078</v>
      </c>
      <c r="B3" s="111" t="s">
        <v>1144</v>
      </c>
    </row>
    <row r="4" spans="1:2" x14ac:dyDescent="0.55000000000000004">
      <c r="A4" s="50" t="str">
        <f>IF('2026 BD Categories'!A4=0,"",'2026 BD Categories'!A4)</f>
        <v>Top 50 Firms</v>
      </c>
      <c r="B4" s="50" t="s">
        <v>1145</v>
      </c>
    </row>
    <row r="5" spans="1:2" x14ac:dyDescent="0.55000000000000004">
      <c r="A5" s="50" t="str">
        <f>IF('2026 BD Categories'!A5=0,"",'2026 BD Categories'!A5)</f>
        <v/>
      </c>
      <c r="B5" s="50" t="s">
        <v>1146</v>
      </c>
    </row>
    <row r="6" spans="1:2" x14ac:dyDescent="0.55000000000000004">
      <c r="A6" s="50" t="str">
        <f>IF('2026 BD Categories'!A6=0,"",'2026 BD Categories'!A6)</f>
        <v/>
      </c>
      <c r="B6" s="50" t="s">
        <v>1147</v>
      </c>
    </row>
    <row r="7" spans="1:2" x14ac:dyDescent="0.55000000000000004">
      <c r="A7" s="50" t="str">
        <f>IF('2026 BD Categories'!A7=0,"",'2026 BD Categories'!A7)</f>
        <v/>
      </c>
      <c r="B7" s="50" t="s">
        <v>1148</v>
      </c>
    </row>
    <row r="8" spans="1:2" x14ac:dyDescent="0.55000000000000004">
      <c r="A8" s="50" t="str">
        <f>IF('2026 BD Categories'!A8=0,"",'2026 BD Categories'!A8)</f>
        <v/>
      </c>
      <c r="B8" s="50" t="s">
        <v>1149</v>
      </c>
    </row>
    <row r="9" spans="1:2" x14ac:dyDescent="0.55000000000000004">
      <c r="A9" s="50" t="str">
        <f>IF('2026 BD Categories'!A9=0,"",'2026 BD Categories'!A9)</f>
        <v/>
      </c>
      <c r="B9" s="50"/>
    </row>
    <row r="10" spans="1:2" x14ac:dyDescent="0.55000000000000004">
      <c r="A10" s="50" t="str">
        <f>IF('2026 BD Categories'!A10=0,"",'2026 BD Categories'!A10)</f>
        <v/>
      </c>
      <c r="B10" s="50"/>
    </row>
    <row r="11" spans="1:2" x14ac:dyDescent="0.55000000000000004">
      <c r="A11" s="50" t="str">
        <f>IF('2026 BD Categories'!A11=0,"",'2026 BD Categories'!A11)</f>
        <v/>
      </c>
      <c r="B11" s="50"/>
    </row>
    <row r="12" spans="1:2" x14ac:dyDescent="0.55000000000000004">
      <c r="A12" s="50" t="str">
        <f>IF('2026 BD Categories'!A12=0,"",'2026 BD Categories'!A12)</f>
        <v/>
      </c>
      <c r="B12" s="50"/>
    </row>
    <row r="13" spans="1:2" x14ac:dyDescent="0.55000000000000004">
      <c r="A13" s="50" t="str">
        <f>IF('2026 BD Categories'!A13=0,"",'2026 BD Categories'!A13)</f>
        <v/>
      </c>
      <c r="B13" s="50"/>
    </row>
    <row r="14" spans="1:2" x14ac:dyDescent="0.55000000000000004">
      <c r="A14" s="50" t="str">
        <f>IF('2026 BD Categories'!A14=0,"",'2026 BD Categories'!A14)</f>
        <v/>
      </c>
      <c r="B14" s="50"/>
    </row>
    <row r="15" spans="1:2" x14ac:dyDescent="0.55000000000000004">
      <c r="A15" s="50" t="e">
        <f>IF('2026 BD Categories'!#REF!=0,"",'2026 BD Categories'!#REF!)</f>
        <v>#REF!</v>
      </c>
      <c r="B15" s="50"/>
    </row>
    <row r="16" spans="1:2" x14ac:dyDescent="0.55000000000000004">
      <c r="A16" s="50" t="e">
        <f>IF('2026 BD Categories'!#REF!=0,"",'2026 BD Categories'!#REF!)</f>
        <v>#REF!</v>
      </c>
      <c r="B16" s="50"/>
    </row>
    <row r="17" spans="1:5" x14ac:dyDescent="0.55000000000000004">
      <c r="A17" s="50" t="e">
        <f>IF('2026 BD Categories'!#REF!=0,"",'2026 BD Categories'!#REF!)</f>
        <v>#REF!</v>
      </c>
      <c r="B17" s="50"/>
    </row>
    <row r="18" spans="1:5" x14ac:dyDescent="0.55000000000000004">
      <c r="A18" s="50" t="e">
        <f>IF('2026 BD Categories'!#REF!=0,"",'2026 BD Categories'!#REF!)</f>
        <v>#REF!</v>
      </c>
      <c r="B18" s="50"/>
    </row>
    <row r="19" spans="1:5" x14ac:dyDescent="0.55000000000000004">
      <c r="A19" s="50" t="e">
        <f>IF('2026 BD Categories'!#REF!=0,"",'2026 BD Categories'!#REF!)</f>
        <v>#REF!</v>
      </c>
      <c r="B19" s="65"/>
    </row>
    <row r="20" spans="1:5" x14ac:dyDescent="0.55000000000000004">
      <c r="A20" s="50" t="e">
        <f>IF('2026 BD Categories'!#REF!=0,"",'2026 BD Categories'!#REF!)</f>
        <v>#REF!</v>
      </c>
      <c r="B20" s="50"/>
    </row>
    <row r="21" spans="1:5" x14ac:dyDescent="0.55000000000000004">
      <c r="A21" s="50" t="str">
        <f>IF('2026 BD Categories'!A21=0,"",'2026 BD Categories'!A21)</f>
        <v/>
      </c>
      <c r="B21" s="52"/>
    </row>
    <row r="22" spans="1:5" x14ac:dyDescent="0.55000000000000004">
      <c r="A22" s="50" t="str">
        <f>IF('2026 BD Categories'!A22=0,"",'2026 BD Categories'!A22)</f>
        <v/>
      </c>
      <c r="B22" s="50"/>
    </row>
    <row r="23" spans="1:5" x14ac:dyDescent="0.55000000000000004">
      <c r="A23" s="50" t="str">
        <f>IF('2026 BD Categories'!A23=0,"",'2026 BD Categories'!A23)</f>
        <v/>
      </c>
      <c r="B23" s="65"/>
    </row>
    <row r="24" spans="1:5" x14ac:dyDescent="0.55000000000000004">
      <c r="A24" s="50" t="str">
        <f>IF('2026 BD Categories'!A24=0,"",'2026 BD Categories'!A24)</f>
        <v/>
      </c>
      <c r="B24" s="116"/>
    </row>
    <row r="25" spans="1:5" ht="15.6" x14ac:dyDescent="0.6">
      <c r="D25" s="113"/>
      <c r="E25" s="113"/>
    </row>
    <row r="26" spans="1:5" x14ac:dyDescent="0.55000000000000004">
      <c r="A26" s="49"/>
      <c r="B26" s="49"/>
    </row>
    <row r="28" spans="1:5" ht="27.75" customHeight="1" x14ac:dyDescent="0.55000000000000004">
      <c r="A28" s="111" t="s">
        <v>1079</v>
      </c>
      <c r="B28" s="111" t="s">
        <v>1144</v>
      </c>
    </row>
    <row r="29" spans="1:5" x14ac:dyDescent="0.55000000000000004">
      <c r="A29" s="50" t="str">
        <f>IF('2026 BD Categories'!B7=0,"",'2026 BD Categories'!B7)</f>
        <v xml:space="preserve">Kimley Horn </v>
      </c>
      <c r="B29" s="50"/>
    </row>
    <row r="30" spans="1:5" x14ac:dyDescent="0.55000000000000004">
      <c r="A30" s="50" t="str">
        <f>IF('2026 BD Categories'!B8=0,"",'2026 BD Categories'!B8)</f>
        <v>Little (Charlotte, NC)</v>
      </c>
      <c r="B30" s="50"/>
    </row>
    <row r="31" spans="1:5" x14ac:dyDescent="0.55000000000000004">
      <c r="A31" s="50" t="str">
        <f>IF('2026 BD Categories'!B9=0,"",'2026 BD Categories'!B9)</f>
        <v>HFA (Bentonville, AR)</v>
      </c>
      <c r="B31" s="50"/>
    </row>
    <row r="32" spans="1:5" x14ac:dyDescent="0.55000000000000004">
      <c r="A32" s="50" t="str">
        <f>IF('2026 BD Categories'!B4=0,"",'2026 BD Categories'!B4)</f>
        <v>Bohler Engineering (Warren, NJ)</v>
      </c>
      <c r="B32" s="50" t="s">
        <v>1150</v>
      </c>
    </row>
    <row r="33" spans="1:2" x14ac:dyDescent="0.55000000000000004">
      <c r="A33" s="50" t="str">
        <f>IF('2026 BD Categories'!B5=0,"",'2026 BD Categories'!B5)</f>
        <v>NORR (Detroit, MI)</v>
      </c>
      <c r="B33" s="50" t="s">
        <v>1151</v>
      </c>
    </row>
    <row r="34" spans="1:2" x14ac:dyDescent="0.55000000000000004">
      <c r="A34" s="50" t="str">
        <f>IF('2026 BD Categories'!B6=0,"",'2026 BD Categories'!B6)</f>
        <v>CECI (Nashville, TN)</v>
      </c>
      <c r="B34" s="65" t="s">
        <v>1150</v>
      </c>
    </row>
    <row r="35" spans="1:2" x14ac:dyDescent="0.55000000000000004">
      <c r="A35" s="51" t="e">
        <f>IF('2026 BD Categories'!#REF!=0,"",'2026 BD Categories'!#REF!)</f>
        <v>#REF!</v>
      </c>
      <c r="B35" s="50"/>
    </row>
    <row r="36" spans="1:2" x14ac:dyDescent="0.55000000000000004">
      <c r="A36" s="51" t="e">
        <f>IF('2026 BD Categories'!#REF!=0,"",'2026 BD Categories'!#REF!)</f>
        <v>#REF!</v>
      </c>
      <c r="B36" s="50"/>
    </row>
    <row r="37" spans="1:2" x14ac:dyDescent="0.55000000000000004">
      <c r="A37" s="50" t="str">
        <f>IF('2026 BD Categories'!B10=0,"",'2026 BD Categories'!B10)</f>
        <v>bdg Architects</v>
      </c>
      <c r="B37" s="52" t="s">
        <v>1152</v>
      </c>
    </row>
    <row r="38" spans="1:2" x14ac:dyDescent="0.55000000000000004">
      <c r="A38" s="50"/>
      <c r="B38" s="50"/>
    </row>
    <row r="39" spans="1:2" x14ac:dyDescent="0.55000000000000004">
      <c r="A39" s="50" t="str">
        <f>IF('2026 BD Categories'!B11=0,"",'2026 BD Categories'!B11)</f>
        <v>KTGY (Irvine, CA)</v>
      </c>
      <c r="B39" s="50"/>
    </row>
    <row r="40" spans="1:2" x14ac:dyDescent="0.55000000000000004">
      <c r="A40" s="50" t="str">
        <f>IF('2026 BD Categories'!B12=0,"",'2026 BD Categories'!B12)</f>
        <v>API</v>
      </c>
      <c r="B40" s="50"/>
    </row>
    <row r="41" spans="1:2" x14ac:dyDescent="0.55000000000000004">
      <c r="A41" s="50" t="str">
        <f>IF('2026 BD Categories'!A16=0,"",'2026 BD Categories'!A16)</f>
        <v/>
      </c>
      <c r="B41" s="50"/>
    </row>
    <row r="42" spans="1:2" x14ac:dyDescent="0.55000000000000004">
      <c r="A42" s="50" t="str">
        <f>IF('2026 BD Categories'!A17=0,"",'2026 BD Categories'!A17)</f>
        <v/>
      </c>
      <c r="B42" s="50"/>
    </row>
    <row r="43" spans="1:2" x14ac:dyDescent="0.55000000000000004">
      <c r="A43" s="50" t="str">
        <f>IF('2026 BD Categories'!A18=0,"",'2026 BD Categories'!A18)</f>
        <v/>
      </c>
      <c r="B43" s="50"/>
    </row>
    <row r="44" spans="1:2" x14ac:dyDescent="0.55000000000000004">
      <c r="A44" s="50" t="str">
        <f>IF('2026 BD Categories'!A19=0,"",'2026 BD Categories'!A19)</f>
        <v/>
      </c>
      <c r="B44" s="50"/>
    </row>
    <row r="45" spans="1:2" x14ac:dyDescent="0.55000000000000004">
      <c r="A45" s="50" t="str">
        <f>IF('2026 BD Categories'!B15=0,"",'2026 BD Categories'!B15)</f>
        <v/>
      </c>
      <c r="B45" s="51"/>
    </row>
    <row r="46" spans="1:2" x14ac:dyDescent="0.55000000000000004">
      <c r="A46" s="50" t="str">
        <f>IF('2026 BD Categories'!A20=0,"",'2026 BD Categories'!A20)</f>
        <v/>
      </c>
      <c r="B46" s="50"/>
    </row>
    <row r="47" spans="1:2" x14ac:dyDescent="0.55000000000000004">
      <c r="A47" s="50" t="str">
        <f>IF('2026 BD Categories'!B22=0,"",'2026 BD Categories'!B22)</f>
        <v/>
      </c>
      <c r="B47" s="50"/>
    </row>
    <row r="48" spans="1:2" x14ac:dyDescent="0.55000000000000004">
      <c r="A48" s="50" t="str">
        <f>IF('2026 BD Categories'!B23=0,"",'2026 BD Categories'!B23)</f>
        <v/>
      </c>
      <c r="B48" s="65"/>
    </row>
    <row r="49" spans="1:2" x14ac:dyDescent="0.55000000000000004">
      <c r="A49" s="50" t="str">
        <f>IF('2026 BD Categories'!B24=0,"",'2026 BD Categories'!B24)</f>
        <v/>
      </c>
      <c r="B49" s="116"/>
    </row>
    <row r="51" spans="1:2" ht="28.8" x14ac:dyDescent="0.55000000000000004">
      <c r="A51" s="111" t="s">
        <v>1080</v>
      </c>
      <c r="B51" s="111" t="s">
        <v>1144</v>
      </c>
    </row>
    <row r="52" spans="1:2" x14ac:dyDescent="0.55000000000000004">
      <c r="A52" s="50" t="str">
        <f>IF('2026 BD Categories'!C4=0,"",'2026 BD Categories'!C4)</f>
        <v>Cyntergy (Tulsa, OK)</v>
      </c>
      <c r="B52" s="50" t="s">
        <v>1153</v>
      </c>
    </row>
    <row r="53" spans="1:2" x14ac:dyDescent="0.55000000000000004">
      <c r="A53" s="50" t="str">
        <f>IF('2026 BD Categories'!C5=0,"",'2026 BD Categories'!C5)</f>
        <v>Benchmark (Rogers, AR)</v>
      </c>
      <c r="B53" s="50" t="s">
        <v>1154</v>
      </c>
    </row>
    <row r="54" spans="1:2" x14ac:dyDescent="0.55000000000000004">
      <c r="A54" s="50" t="str">
        <f>IF('2026 BD Categories'!C6=0,"",'2026 BD Categories'!C6)</f>
        <v>Galloway (Witicha, KS)</v>
      </c>
      <c r="B54" s="50" t="s">
        <v>1155</v>
      </c>
    </row>
    <row r="55" spans="1:2" x14ac:dyDescent="0.55000000000000004">
      <c r="A55" s="50" t="str">
        <f>IF('2026 BD Categories'!C10=0,"",'2026 BD Categories'!C10)</f>
        <v>Onyx (Cleveland, OH)</v>
      </c>
      <c r="B55" s="50" t="s">
        <v>1156</v>
      </c>
    </row>
    <row r="56" spans="1:2" x14ac:dyDescent="0.55000000000000004">
      <c r="A56" s="50" t="str">
        <f>IF('2026 BD Categories'!C12=0,"",'2026 BD Categories'!C12)</f>
        <v>Zelus (VDC) (Pheonix, AZ)</v>
      </c>
      <c r="B56" s="50" t="s">
        <v>1157</v>
      </c>
    </row>
    <row r="57" spans="1:2" x14ac:dyDescent="0.55000000000000004">
      <c r="A57" s="50" t="str">
        <f>IF('2026 BD Categories'!C7=0,"",'2026 BD Categories'!C7)</f>
        <v>TPG Architects (FL and NY city)</v>
      </c>
      <c r="B57" s="50" t="s">
        <v>1158</v>
      </c>
    </row>
    <row r="58" spans="1:2" x14ac:dyDescent="0.55000000000000004">
      <c r="A58" s="50" t="e">
        <f>IF('2026 BD Categories'!#REF!=0,"",'2026 BD Categories'!#REF!)</f>
        <v>#REF!</v>
      </c>
      <c r="B58" s="50"/>
    </row>
    <row r="59" spans="1:2" x14ac:dyDescent="0.55000000000000004">
      <c r="A59" s="50" t="e">
        <f>IF('2026 BD Categories'!#REF!=0,"",'2026 BD Categories'!#REF!)</f>
        <v>#REF!</v>
      </c>
      <c r="B59" s="50"/>
    </row>
    <row r="60" spans="1:2" x14ac:dyDescent="0.55000000000000004">
      <c r="A60" s="50" t="str">
        <f>IF('2026 BD Categories'!C11=0,"",'2026 BD Categories'!C11)</f>
        <v>MJM (Nashville, TN)</v>
      </c>
      <c r="B60" s="50"/>
    </row>
    <row r="61" spans="1:2" x14ac:dyDescent="0.55000000000000004">
      <c r="A61" s="50" t="str">
        <f>IF('2026 BD Categories'!C22=0,"",'2026 BD Categories'!C22)</f>
        <v/>
      </c>
      <c r="B61" s="50" t="s">
        <v>1159</v>
      </c>
    </row>
    <row r="62" spans="1:2" x14ac:dyDescent="0.55000000000000004">
      <c r="A62" s="50" t="str">
        <f>IF('2026 BD Categories'!C14=0,"",'2026 BD Categories'!C14)</f>
        <v>Cooper Carry [hospitality] (Atlanta, GA)</v>
      </c>
      <c r="B62" s="50"/>
    </row>
    <row r="63" spans="1:2" x14ac:dyDescent="0.55000000000000004">
      <c r="A63" s="50" t="str">
        <f>IF('2026 BD Categories'!C8=0,"",'2026 BD Categories'!C8)</f>
        <v>BRP Arch [hospitality] (Springfield, MO)</v>
      </c>
      <c r="B63" s="50" t="s">
        <v>1160</v>
      </c>
    </row>
    <row r="64" spans="1:2" x14ac:dyDescent="0.55000000000000004">
      <c r="A64" s="50" t="str">
        <f>IF('2026 BD Categories'!C15=0,"",'2026 BD Categories'!C15)</f>
        <v>JDA Arch [hospitality] (Woodinville, WA)</v>
      </c>
      <c r="B64" s="50" t="s">
        <v>1161</v>
      </c>
    </row>
    <row r="65" spans="1:2" x14ac:dyDescent="0.55000000000000004">
      <c r="A65" s="50" t="str">
        <f>IF('2026 BD Categories'!C16=0,"",'2026 BD Categories'!C16)</f>
        <v>Clayco [mutli family] (Chicago, IL)</v>
      </c>
      <c r="B65" s="50" t="s">
        <v>1162</v>
      </c>
    </row>
    <row r="66" spans="1:2" x14ac:dyDescent="0.55000000000000004">
      <c r="A66" s="50" t="str">
        <f>IF('2026 BD Categories'!D9=0,"",'2026 BD Categories'!D9)</f>
        <v>Silver Studio Architects</v>
      </c>
      <c r="B66" s="50" t="s">
        <v>1163</v>
      </c>
    </row>
    <row r="67" spans="1:2" x14ac:dyDescent="0.55000000000000004">
      <c r="A67" s="50" t="e">
        <f>IF('2026 BD Categories'!#REF!=0,"",'2026 BD Categories'!#REF!)</f>
        <v>#REF!</v>
      </c>
      <c r="B67" s="50"/>
    </row>
    <row r="68" spans="1:2" x14ac:dyDescent="0.55000000000000004">
      <c r="A68" s="50" t="str">
        <f>IF('2026 BD Categories'!C17=0,"",'2026 BD Categories'!C17)</f>
        <v>Crenshaw Consulting (MEP) (Raleigh, NC)</v>
      </c>
      <c r="B68" s="50" t="s">
        <v>1164</v>
      </c>
    </row>
    <row r="69" spans="1:2" x14ac:dyDescent="0.55000000000000004">
      <c r="A69" s="50" t="s">
        <v>365</v>
      </c>
      <c r="B69" s="50" t="s">
        <v>1165</v>
      </c>
    </row>
    <row r="70" spans="1:2" x14ac:dyDescent="0.55000000000000004">
      <c r="A70" s="50" t="s">
        <v>1166</v>
      </c>
      <c r="B70" s="50" t="s">
        <v>1167</v>
      </c>
    </row>
    <row r="71" spans="1:2" ht="15.6" x14ac:dyDescent="0.6">
      <c r="A71" s="50" t="e">
        <f>IF('2026 BD Categories'!#REF!=0,"",'2026 BD Categories'!#REF!)</f>
        <v>#REF!</v>
      </c>
      <c r="B71" s="112"/>
    </row>
    <row r="72" spans="1:2" ht="15.6" x14ac:dyDescent="0.6">
      <c r="A72" s="50" t="str">
        <f>IF('2026 BD Categories'!C24=0,"",'2026 BD Categories'!C24)</f>
        <v/>
      </c>
      <c r="B72" s="117"/>
    </row>
    <row r="74" spans="1:2" ht="29.25" customHeight="1" x14ac:dyDescent="0.55000000000000004">
      <c r="A74" s="111" t="s">
        <v>1081</v>
      </c>
      <c r="B74" s="111" t="s">
        <v>1144</v>
      </c>
    </row>
    <row r="75" spans="1:2" ht="28.8" x14ac:dyDescent="0.55000000000000004">
      <c r="A75" s="50" t="str">
        <f>IF('2026 BD Categories'!D4=0,"",'2026 BD Categories'!D4)</f>
        <v>BL Companies</v>
      </c>
      <c r="B75" s="59" t="s">
        <v>1168</v>
      </c>
    </row>
    <row r="76" spans="1:2" x14ac:dyDescent="0.55000000000000004">
      <c r="A76" s="50" t="str">
        <f>IF('2026 BD Categories'!D5=0,"",'2026 BD Categories'!D5)</f>
        <v>Atlantic AE</v>
      </c>
      <c r="B76" s="50" t="s">
        <v>1169</v>
      </c>
    </row>
    <row r="77" spans="1:2" x14ac:dyDescent="0.55000000000000004">
      <c r="A77" s="50" t="str">
        <f>IF('2026 BD Categories'!D7=0,"",'2026 BD Categories'!D7)</f>
        <v xml:space="preserve">CPH </v>
      </c>
      <c r="B77" s="50" t="s">
        <v>1170</v>
      </c>
    </row>
    <row r="78" spans="1:2" ht="28.8" x14ac:dyDescent="0.55000000000000004">
      <c r="A78" s="50" t="str">
        <f>IF('2026 BD Categories'!D8=0,"",'2026 BD Categories'!D8)</f>
        <v>Sargent &amp; Lundy</v>
      </c>
      <c r="B78" s="59" t="s">
        <v>1171</v>
      </c>
    </row>
    <row r="79" spans="1:2" x14ac:dyDescent="0.55000000000000004">
      <c r="A79" s="50" t="str">
        <f>IF('2026 BD Categories'!D6=0,"",'2026 BD Categories'!D6)</f>
        <v>Flintco</v>
      </c>
      <c r="B79" s="50" t="s">
        <v>1172</v>
      </c>
    </row>
    <row r="80" spans="1:2" x14ac:dyDescent="0.55000000000000004">
      <c r="A80" s="50" t="e">
        <f>IF('2026 BD Categories'!#REF!=0,"",'2026 BD Categories'!#REF!)</f>
        <v>#REF!</v>
      </c>
      <c r="B80" s="50"/>
    </row>
    <row r="81" spans="1:2" x14ac:dyDescent="0.55000000000000004">
      <c r="A81" s="50" t="e">
        <f>IF('2026 BD Categories'!#REF!=0,"",'2026 BD Categories'!#REF!)</f>
        <v>#REF!</v>
      </c>
      <c r="B81" s="50"/>
    </row>
    <row r="82" spans="1:2" x14ac:dyDescent="0.55000000000000004">
      <c r="A82" s="50" t="str">
        <f>IF('2026 BD Categories'!D11=0,"",'2026 BD Categories'!D11)</f>
        <v/>
      </c>
      <c r="B82" s="50"/>
    </row>
    <row r="83" spans="1:2" x14ac:dyDescent="0.55000000000000004">
      <c r="A83" s="50" t="str">
        <f>IF('2026 BD Categories'!D12=0,"",'2026 BD Categories'!D12)</f>
        <v/>
      </c>
      <c r="B83" s="50"/>
    </row>
    <row r="84" spans="1:2" x14ac:dyDescent="0.55000000000000004">
      <c r="A84" s="50" t="str">
        <f>IF('2026 BD Categories'!D13=0,"",'2026 BD Categories'!D13)</f>
        <v/>
      </c>
      <c r="B84" s="50"/>
    </row>
    <row r="85" spans="1:2" x14ac:dyDescent="0.55000000000000004">
      <c r="A85" s="50" t="str">
        <f>IF('2026 BD Categories'!D14=0,"",'2026 BD Categories'!D14)</f>
        <v/>
      </c>
      <c r="B85" s="50"/>
    </row>
    <row r="86" spans="1:2" x14ac:dyDescent="0.55000000000000004">
      <c r="A86" s="50" t="str">
        <f>IF('2026 BD Categories'!D15=0,"",'2026 BD Categories'!D15)</f>
        <v/>
      </c>
      <c r="B86" s="50"/>
    </row>
    <row r="87" spans="1:2" x14ac:dyDescent="0.55000000000000004">
      <c r="A87" s="50" t="str">
        <f>IF('2026 BD Categories'!D16=0,"",'2026 BD Categories'!D16)</f>
        <v/>
      </c>
      <c r="B87" s="50"/>
    </row>
    <row r="88" spans="1:2" x14ac:dyDescent="0.55000000000000004">
      <c r="A88" s="50" t="str">
        <f>IF('2026 BD Categories'!D17=0,"",'2026 BD Categories'!D17)</f>
        <v/>
      </c>
      <c r="B88" s="50"/>
    </row>
    <row r="89" spans="1:2" x14ac:dyDescent="0.55000000000000004">
      <c r="A89" s="50" t="str">
        <f>IF('2026 BD Categories'!D18=0,"",'2026 BD Categories'!D18)</f>
        <v/>
      </c>
      <c r="B89" s="50"/>
    </row>
    <row r="90" spans="1:2" x14ac:dyDescent="0.55000000000000004">
      <c r="A90" s="50" t="str">
        <f>IF('2026 BD Categories'!D19=0,"",'2026 BD Categories'!D19)</f>
        <v/>
      </c>
      <c r="B90" s="50"/>
    </row>
    <row r="91" spans="1:2" x14ac:dyDescent="0.55000000000000004">
      <c r="A91" s="50" t="str">
        <f>IF('2026 BD Categories'!D20=0,"",'2026 BD Categories'!D20)</f>
        <v/>
      </c>
      <c r="B91" s="50"/>
    </row>
    <row r="92" spans="1:2" x14ac:dyDescent="0.55000000000000004">
      <c r="A92" s="50" t="str">
        <f>IF('2026 BD Categories'!D21=0,"",'2026 BD Categories'!D21)</f>
        <v/>
      </c>
      <c r="B92" s="50"/>
    </row>
    <row r="93" spans="1:2" ht="15.6" x14ac:dyDescent="0.6">
      <c r="A93" s="50" t="str">
        <f>IF('2026 BD Categories'!D22=0,"",'2026 BD Categories'!D22)</f>
        <v/>
      </c>
      <c r="B93" s="110"/>
    </row>
    <row r="94" spans="1:2" ht="15.6" x14ac:dyDescent="0.6">
      <c r="A94" s="50" t="str">
        <f>IF('2026 BD Categories'!D23=0,"",'2026 BD Categories'!D23)</f>
        <v/>
      </c>
      <c r="B94" s="114"/>
    </row>
    <row r="95" spans="1:2" ht="15.6" x14ac:dyDescent="0.6">
      <c r="A95" s="50" t="str">
        <f>IF('2026 BD Categories'!D24=0,"",'2026 BD Categories'!D24)</f>
        <v/>
      </c>
      <c r="B95" s="118"/>
    </row>
    <row r="97" spans="1:2" ht="29.25" customHeight="1" x14ac:dyDescent="0.55000000000000004">
      <c r="A97" s="111" t="s">
        <v>1082</v>
      </c>
      <c r="B97" s="111"/>
    </row>
    <row r="98" spans="1:2" x14ac:dyDescent="0.55000000000000004">
      <c r="A98" s="50" t="s">
        <v>471</v>
      </c>
      <c r="B98" s="65" t="s">
        <v>1173</v>
      </c>
    </row>
    <row r="99" spans="1:2" x14ac:dyDescent="0.55000000000000004">
      <c r="A99" s="51" t="s">
        <v>1029</v>
      </c>
      <c r="B99" s="50" t="s">
        <v>1174</v>
      </c>
    </row>
    <row r="100" spans="1:2" x14ac:dyDescent="0.55000000000000004">
      <c r="A100" s="50" t="s">
        <v>505</v>
      </c>
      <c r="B100" s="52" t="s">
        <v>1175</v>
      </c>
    </row>
    <row r="101" spans="1:2" x14ac:dyDescent="0.55000000000000004">
      <c r="A101" s="50" t="s">
        <v>739</v>
      </c>
      <c r="B101" s="50" t="s">
        <v>1176</v>
      </c>
    </row>
    <row r="102" spans="1:2" x14ac:dyDescent="0.55000000000000004">
      <c r="A102" s="50"/>
      <c r="B102" s="50"/>
    </row>
    <row r="103" spans="1:2" x14ac:dyDescent="0.55000000000000004">
      <c r="A103" s="50"/>
      <c r="B103" s="50"/>
    </row>
    <row r="104" spans="1:2" x14ac:dyDescent="0.55000000000000004">
      <c r="A104" s="50"/>
      <c r="B104" s="50"/>
    </row>
    <row r="105" spans="1:2" x14ac:dyDescent="0.55000000000000004">
      <c r="A105" s="50"/>
      <c r="B105" s="50"/>
    </row>
    <row r="106" spans="1:2" x14ac:dyDescent="0.55000000000000004">
      <c r="A106" s="50"/>
      <c r="B106" s="50"/>
    </row>
    <row r="107" spans="1:2" x14ac:dyDescent="0.55000000000000004">
      <c r="A107" s="50"/>
      <c r="B107" s="50"/>
    </row>
    <row r="108" spans="1:2" x14ac:dyDescent="0.55000000000000004">
      <c r="A108" s="50"/>
      <c r="B108" s="50"/>
    </row>
    <row r="109" spans="1:2" x14ac:dyDescent="0.55000000000000004">
      <c r="A109" s="50"/>
      <c r="B109" s="50"/>
    </row>
    <row r="110" spans="1:2" x14ac:dyDescent="0.55000000000000004">
      <c r="A110" s="50"/>
      <c r="B110" s="50"/>
    </row>
    <row r="111" spans="1:2" x14ac:dyDescent="0.55000000000000004">
      <c r="A111" s="50"/>
      <c r="B111" s="50"/>
    </row>
    <row r="112" spans="1:2" x14ac:dyDescent="0.55000000000000004">
      <c r="A112" s="50"/>
      <c r="B112" s="50"/>
    </row>
    <row r="113" spans="1:2" x14ac:dyDescent="0.55000000000000004">
      <c r="A113" s="50"/>
      <c r="B113" s="50"/>
    </row>
    <row r="114" spans="1:2" x14ac:dyDescent="0.55000000000000004">
      <c r="A114" s="50"/>
      <c r="B114" s="51"/>
    </row>
    <row r="115" spans="1:2" x14ac:dyDescent="0.55000000000000004">
      <c r="A115" s="50"/>
      <c r="B115" s="50"/>
    </row>
    <row r="116" spans="1:2" ht="15.6" x14ac:dyDescent="0.6">
      <c r="A116" s="110"/>
      <c r="B116" s="50"/>
    </row>
    <row r="117" spans="1:2" ht="15.6" x14ac:dyDescent="0.6">
      <c r="A117" s="114"/>
      <c r="B117" s="65"/>
    </row>
    <row r="118" spans="1:2" ht="15.6" x14ac:dyDescent="0.6">
      <c r="A118" s="118"/>
      <c r="B118" s="116"/>
    </row>
    <row r="120" spans="1:2" ht="28.8" x14ac:dyDescent="0.55000000000000004">
      <c r="A120" s="111" t="s">
        <v>1083</v>
      </c>
      <c r="B120" s="111"/>
    </row>
    <row r="121" spans="1:2" x14ac:dyDescent="0.55000000000000004">
      <c r="A121" s="50" t="s">
        <v>1087</v>
      </c>
      <c r="B121" s="50" t="s">
        <v>1177</v>
      </c>
    </row>
    <row r="122" spans="1:2" x14ac:dyDescent="0.55000000000000004">
      <c r="A122" s="50" t="s">
        <v>1090</v>
      </c>
      <c r="B122" s="50"/>
    </row>
    <row r="123" spans="1:2" x14ac:dyDescent="0.55000000000000004">
      <c r="A123" s="50" t="s">
        <v>765</v>
      </c>
      <c r="B123" s="50"/>
    </row>
    <row r="124" spans="1:2" x14ac:dyDescent="0.55000000000000004">
      <c r="A124" s="50" t="s">
        <v>941</v>
      </c>
      <c r="B124" s="50"/>
    </row>
    <row r="125" spans="1:2" x14ac:dyDescent="0.55000000000000004">
      <c r="A125" s="50" t="s">
        <v>920</v>
      </c>
      <c r="B125" s="50"/>
    </row>
    <row r="126" spans="1:2" x14ac:dyDescent="0.55000000000000004">
      <c r="A126" s="50"/>
      <c r="B126" s="50"/>
    </row>
    <row r="127" spans="1:2" x14ac:dyDescent="0.55000000000000004">
      <c r="A127" s="50" t="s">
        <v>923</v>
      </c>
      <c r="B127" s="50"/>
    </row>
    <row r="128" spans="1:2" x14ac:dyDescent="0.55000000000000004">
      <c r="A128" s="50" t="s">
        <v>1105</v>
      </c>
      <c r="B128" s="50"/>
    </row>
    <row r="129" spans="1:2" x14ac:dyDescent="0.55000000000000004">
      <c r="A129" s="50"/>
      <c r="B129" s="50"/>
    </row>
    <row r="130" spans="1:2" x14ac:dyDescent="0.55000000000000004">
      <c r="A130" s="50"/>
      <c r="B130" s="50"/>
    </row>
    <row r="131" spans="1:2" x14ac:dyDescent="0.55000000000000004">
      <c r="A131" s="50"/>
      <c r="B131" s="50"/>
    </row>
    <row r="132" spans="1:2" x14ac:dyDescent="0.55000000000000004">
      <c r="A132" s="50"/>
      <c r="B132" s="50"/>
    </row>
    <row r="133" spans="1:2" x14ac:dyDescent="0.55000000000000004">
      <c r="A133" s="50"/>
      <c r="B133" s="50"/>
    </row>
    <row r="134" spans="1:2" x14ac:dyDescent="0.55000000000000004">
      <c r="A134" s="50"/>
      <c r="B134" s="50"/>
    </row>
    <row r="135" spans="1:2" x14ac:dyDescent="0.55000000000000004">
      <c r="A135" s="50"/>
      <c r="B135" s="50"/>
    </row>
    <row r="136" spans="1:2" x14ac:dyDescent="0.55000000000000004">
      <c r="A136" s="50"/>
      <c r="B136" s="50"/>
    </row>
    <row r="137" spans="1:2" x14ac:dyDescent="0.55000000000000004">
      <c r="A137" s="50"/>
      <c r="B137" s="51"/>
    </row>
    <row r="138" spans="1:2" x14ac:dyDescent="0.55000000000000004">
      <c r="A138" s="50"/>
      <c r="B138" s="50"/>
    </row>
    <row r="139" spans="1:2" ht="15.6" x14ac:dyDescent="0.6">
      <c r="A139" s="110"/>
      <c r="B139" s="50"/>
    </row>
    <row r="140" spans="1:2" ht="15.6" x14ac:dyDescent="0.6">
      <c r="A140" s="114"/>
      <c r="B140" s="65"/>
    </row>
    <row r="141" spans="1:2" ht="15.6" x14ac:dyDescent="0.6">
      <c r="A141" s="118"/>
      <c r="B141" s="1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3315ba-8b6b-4fb5-afba-6c5eba861b1e" xsi:nil="true"/>
    <lcf76f155ced4ddcb4097134ff3c332f xmlns="7818b3e4-f142-406a-9c5f-bf47363f190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A472A986E8349BF238849BA239878" ma:contentTypeVersion="17" ma:contentTypeDescription="Create a new document." ma:contentTypeScope="" ma:versionID="c1f418068941328634ad493a83778f2e">
  <xsd:schema xmlns:xsd="http://www.w3.org/2001/XMLSchema" xmlns:xs="http://www.w3.org/2001/XMLSchema" xmlns:p="http://schemas.microsoft.com/office/2006/metadata/properties" xmlns:ns2="7818b3e4-f142-406a-9c5f-bf47363f190d" xmlns:ns3="4b3315ba-8b6b-4fb5-afba-6c5eba861b1e" targetNamespace="http://schemas.microsoft.com/office/2006/metadata/properties" ma:root="true" ma:fieldsID="71670f6276ddba26fa3f2c67e720b747" ns2:_="" ns3:_="">
    <xsd:import namespace="7818b3e4-f142-406a-9c5f-bf47363f190d"/>
    <xsd:import namespace="4b3315ba-8b6b-4fb5-afba-6c5eba861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8b3e4-f142-406a-9c5f-bf47363f19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5c7ed2d-9a92-4ac2-aed7-53b6ccaec6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3315ba-8b6b-4fb5-afba-6c5eba861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c9b8ceb-09ff-46a3-8ac5-56b9bce9a550}" ma:internalName="TaxCatchAll" ma:showField="CatchAllData" ma:web="4b3315ba-8b6b-4fb5-afba-6c5eba861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68EC5A-86DC-4A41-BB08-E402AB797E5A}">
  <ds:schemaRefs>
    <ds:schemaRef ds:uri="http://schemas.microsoft.com/office/2006/metadata/properties"/>
    <ds:schemaRef ds:uri="http://schemas.microsoft.com/office/infopath/2007/PartnerControls"/>
    <ds:schemaRef ds:uri="4b3315ba-8b6b-4fb5-afba-6c5eba861b1e"/>
    <ds:schemaRef ds:uri="7818b3e4-f142-406a-9c5f-bf47363f190d"/>
  </ds:schemaRefs>
</ds:datastoreItem>
</file>

<file path=customXml/itemProps2.xml><?xml version="1.0" encoding="utf-8"?>
<ds:datastoreItem xmlns:ds="http://schemas.openxmlformats.org/officeDocument/2006/customXml" ds:itemID="{981FC823-3A25-4166-8857-54B1B074B0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18b3e4-f142-406a-9c5f-bf47363f190d"/>
    <ds:schemaRef ds:uri="4b3315ba-8b6b-4fb5-afba-6c5eba861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A94748-976D-4925-9AA8-17424F0979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2023 Tier 1</vt:lpstr>
      <vt:lpstr>2023 Tier 2</vt:lpstr>
      <vt:lpstr>2023 Tier 3</vt:lpstr>
      <vt:lpstr>Firm Engagement</vt:lpstr>
      <vt:lpstr>Centerbuild 2024</vt:lpstr>
      <vt:lpstr>Centerbuild 2025</vt:lpstr>
      <vt:lpstr>Hospitality</vt:lpstr>
      <vt:lpstr>2025 Existing Client List</vt:lpstr>
      <vt:lpstr>Action Items Per Team Member</vt:lpstr>
      <vt:lpstr>2026 Existing Clients</vt:lpstr>
      <vt:lpstr>2026 BD Categories</vt:lpstr>
      <vt:lpstr>2026 BD Next Steps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Harford</dc:creator>
  <cp:keywords/>
  <dc:description/>
  <cp:lastModifiedBy>Jason Fifarek, PE</cp:lastModifiedBy>
  <cp:revision/>
  <dcterms:created xsi:type="dcterms:W3CDTF">2024-11-26T16:27:28Z</dcterms:created>
  <dcterms:modified xsi:type="dcterms:W3CDTF">2026-04-02T14:58:25Z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0x0101008A2A472A986E8349BF238849BA239878</vt:lpwstr>
  </property>
  <property fmtid="{D5CDD505-2E9C-101B-9397-08002B2CF9AE}" pid="3" name="MediaServiceImageTags">
    <vt:lpwstr/>
  </property>
</Properties>
</file>